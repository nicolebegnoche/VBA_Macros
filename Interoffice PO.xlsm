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G:\Dev\VBA\"/>
    </mc:Choice>
  </mc:AlternateContent>
  <xr:revisionPtr revIDLastSave="0" documentId="13_ncr:1_{34D3B8A2-D9D3-42A8-8A2E-4FE5552E860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Vendor Info" sheetId="5" r:id="rId1"/>
    <sheet name="Purchase Order" sheetId="1" r:id="rId2"/>
  </sheets>
  <functionGroups builtInGroupCount="19"/>
  <externalReferences>
    <externalReference r:id="rId3"/>
  </externalReferences>
  <definedNames>
    <definedName name="Account">'Vendor Info'!$C$1</definedName>
    <definedName name="City">'Vendor Info'!$C$4</definedName>
    <definedName name="Country">'Vendor Info'!$C$7</definedName>
    <definedName name="Date">'Purchase Order'!$D$5</definedName>
    <definedName name="Delivery">'Purchase Order'!$E$16</definedName>
    <definedName name="Email">'Vendor Info'!$C$10</definedName>
    <definedName name="Flatten">'Purchase Order'!$C$4:$F$6,'Purchase Order'!$D$9:$E$13,'Purchase Order'!$B$9:$B$13,'Purchase Order'!$A$16:$F$16</definedName>
    <definedName name="Notes">'Vendor Info'!$C$11</definedName>
    <definedName name="Orders">'Purchase Order'!$A$19:$E$38</definedName>
    <definedName name="Phone">'Vendor Info'!$C$2</definedName>
    <definedName name="PO">'Purchase Order'!$D$4</definedName>
    <definedName name="Price">'Purchase Order'!$E$19:$E$38</definedName>
    <definedName name="Projects">'Purchase Order'!$D$19:$D$38</definedName>
    <definedName name="Quantity">'Purchase Order'!$A$19:$A$38</definedName>
    <definedName name="Recipient">'Purchase Order'!$D$9</definedName>
    <definedName name="ShipMethodList">'Vendor Info'!$E$1:$E$8</definedName>
    <definedName name="Shipping">'Purchase Order'!$A$16</definedName>
    <definedName name="ShippingDefault">'Vendor Info'!$C$8</definedName>
    <definedName name="ShipToStreet">'Purchase Order'!$D$11</definedName>
    <definedName name="State">'Vendor Info'!$C$5</definedName>
    <definedName name="Street">'Vendor Info'!$C$3</definedName>
    <definedName name="Terms">'Purchase Order'!$C$16</definedName>
    <definedName name="TermsDefault">'Vendor Info'!$C$9</definedName>
    <definedName name="Vendor">'Purchase Order'!$B$9</definedName>
    <definedName name="Vendors">'Vendor Info'!#REF!:INDEX('Vendor Info'!#REF!,COUNTIF('Vendor Info'!#REF!,"?*"))</definedName>
    <definedName name="ZIP">'Vendor Info'!$C$6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5" l="1"/>
  <c r="C9" i="5"/>
  <c r="C8" i="5"/>
  <c r="C7" i="5"/>
  <c r="C6" i="5"/>
  <c r="C5" i="5"/>
  <c r="C4" i="5"/>
  <c r="C3" i="5"/>
  <c r="C2" i="5"/>
  <c r="C1" i="5"/>
  <c r="C11" i="5"/>
  <c r="D4" i="1"/>
  <c r="A16" i="1" l="1"/>
  <c r="B1" i="5" l="1"/>
  <c r="A100" i="5" l="1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F19" i="1" l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 l="1"/>
  <c r="F40" i="1"/>
  <c r="E1" i="5" l="1"/>
  <c r="C16" i="1"/>
  <c r="C6" i="1"/>
  <c r="C7" i="1" l="1"/>
  <c r="D2" i="1"/>
  <c r="B10" i="1"/>
  <c r="B13" i="1"/>
  <c r="D5" i="1"/>
  <c r="B12" i="1"/>
  <c r="F41" i="1" l="1"/>
  <c r="B11" i="1"/>
  <c r="D6" i="1"/>
</calcChain>
</file>

<file path=xl/sharedStrings.xml><?xml version="1.0" encoding="utf-8"?>
<sst xmlns="http://schemas.openxmlformats.org/spreadsheetml/2006/main" count="40" uniqueCount="37">
  <si>
    <t>DESCRIPTION</t>
  </si>
  <si>
    <t>UNIT PRICE</t>
  </si>
  <si>
    <t>SHIP TO</t>
  </si>
  <si>
    <t>QTY</t>
  </si>
  <si>
    <t>ITEM #</t>
  </si>
  <si>
    <t>LINE TOTAL</t>
  </si>
  <si>
    <t>SUBTOTAL</t>
  </si>
  <si>
    <t>TOTAL</t>
  </si>
  <si>
    <t>SHIPPING METHOD</t>
  </si>
  <si>
    <t>Authorized by</t>
  </si>
  <si>
    <t>VENDOR</t>
  </si>
  <si>
    <t>Terms</t>
  </si>
  <si>
    <r>
      <rPr>
        <b/>
        <sz val="20"/>
        <color theme="4" tint="-0.249977111117893"/>
        <rFont val="Trebuchet MS"/>
        <family val="2"/>
      </rPr>
      <t>PURCHASE</t>
    </r>
    <r>
      <rPr>
        <b/>
        <sz val="20"/>
        <color rgb="FF366092"/>
        <rFont val="Trebuchet MS"/>
        <family val="2"/>
      </rPr>
      <t xml:space="preserve"> ORDER</t>
    </r>
    <r>
      <rPr>
        <sz val="20"/>
        <rFont val="Trebuchet MS"/>
        <family val="2"/>
      </rPr>
      <t xml:space="preserve">
</t>
    </r>
  </si>
  <si>
    <t xml:space="preserve"> </t>
  </si>
  <si>
    <t>SHIPPING</t>
  </si>
  <si>
    <t>We require lift gate service on freight shipments.</t>
  </si>
  <si>
    <t>Best</t>
  </si>
  <si>
    <t>Purchase Order</t>
  </si>
  <si>
    <t xml:space="preserve"> Order Date</t>
  </si>
  <si>
    <t>DATE NEEDED</t>
  </si>
  <si>
    <t>3 Day</t>
  </si>
  <si>
    <t>2 Day</t>
  </si>
  <si>
    <t>Overnight Saver</t>
  </si>
  <si>
    <t>Overnight 10:30 AM</t>
  </si>
  <si>
    <t>Overnight Early AM</t>
  </si>
  <si>
    <t>Freight w/ Liftgate</t>
  </si>
  <si>
    <t>Ground</t>
  </si>
  <si>
    <r>
      <t xml:space="preserve">Please enter this order in accordance with the listed prices, terms, delivery method, and any specifications listed above.
Notify us </t>
    </r>
    <r>
      <rPr>
        <b/>
        <i/>
        <sz val="10"/>
        <rFont val="Trebuchet MS"/>
        <family val="2"/>
      </rPr>
      <t xml:space="preserve">immediately </t>
    </r>
    <r>
      <rPr>
        <i/>
        <sz val="10"/>
        <rFont val="Trebuchet MS"/>
        <family val="2"/>
      </rPr>
      <t>if you are unable to ship as specified or if the order will not</t>
    </r>
    <r>
      <rPr>
        <b/>
        <i/>
        <sz val="10"/>
        <rFont val="Trebuchet MS"/>
        <family val="2"/>
      </rPr>
      <t xml:space="preserve"> ship complete</t>
    </r>
    <r>
      <rPr>
        <i/>
        <sz val="10"/>
        <rFont val="Trebuchet MS"/>
        <family val="2"/>
      </rPr>
      <t>.</t>
    </r>
  </si>
  <si>
    <t>PROJECT</t>
  </si>
  <si>
    <t>Address 1</t>
  </si>
  <si>
    <t>City, State, ZIP</t>
  </si>
  <si>
    <t>Phone</t>
  </si>
  <si>
    <t>Email</t>
  </si>
  <si>
    <t>Company</t>
  </si>
  <si>
    <t xml:space="preserve">Signature                                      </t>
  </si>
  <si>
    <t>Core Brands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</si>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</sst>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&lt;=9999999]###\-####;###\.###\.####"/>
    <numFmt numFmtId="167" formatCode="dddd\ \ [$-409]m/d/yy;@"/>
  </numFmts>
  <fonts count="24" x14ac:knownFonts="1">
    <font>
      <sz val="10"/>
      <name val="Arial"/>
    </font>
    <font>
      <sz val="8"/>
      <name val="Arial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8"/>
      <name val="Trebuchet MS"/>
      <family val="2"/>
    </font>
    <font>
      <sz val="8"/>
      <name val="Trebuchet MS"/>
      <family val="2"/>
    </font>
    <font>
      <sz val="9"/>
      <name val="Trebuchet MS"/>
      <family val="2"/>
    </font>
    <font>
      <i/>
      <sz val="6"/>
      <name val="Trebuchet MS"/>
      <family val="2"/>
    </font>
    <font>
      <b/>
      <i/>
      <sz val="16"/>
      <name val="Vivaldi"/>
      <family val="4"/>
    </font>
    <font>
      <b/>
      <sz val="6"/>
      <name val="Trebuchet MS"/>
      <family val="2"/>
    </font>
    <font>
      <b/>
      <i/>
      <sz val="10"/>
      <name val="Trebuchet MS"/>
      <family val="2"/>
    </font>
    <font>
      <sz val="20"/>
      <name val="Trebuchet MS"/>
      <family val="2"/>
    </font>
    <font>
      <b/>
      <sz val="20"/>
      <color theme="4" tint="-0.249977111117893"/>
      <name val="Trebuchet MS"/>
      <family val="2"/>
    </font>
    <font>
      <b/>
      <i/>
      <sz val="14"/>
      <name val="Trebuchet MS"/>
      <family val="2"/>
    </font>
    <font>
      <b/>
      <i/>
      <sz val="11"/>
      <name val="Trebuchet MS"/>
      <family val="2"/>
    </font>
    <font>
      <b/>
      <sz val="9"/>
      <name val="Trebuchet MS"/>
      <family val="2"/>
    </font>
    <font>
      <b/>
      <sz val="20"/>
      <color rgb="FF366092"/>
      <name val="Trebuchet MS"/>
      <family val="2"/>
    </font>
    <font>
      <b/>
      <sz val="9"/>
      <color rgb="FFC00000"/>
      <name val="Trebuchet MS"/>
      <family val="2"/>
    </font>
    <font>
      <sz val="10"/>
      <name val="Arial"/>
      <family val="2"/>
    </font>
    <font>
      <i/>
      <sz val="10"/>
      <name val="Trebuchet MS"/>
      <family val="2"/>
    </font>
    <font>
      <b/>
      <sz val="14"/>
      <name val="Trebuchet MS"/>
      <family val="2"/>
    </font>
    <font>
      <i/>
      <sz val="14"/>
      <name val="Trebuchet MS"/>
      <family val="2"/>
    </font>
    <font>
      <b/>
      <sz val="10.5"/>
      <name val="Trebuchet MS"/>
      <family val="2"/>
    </font>
    <font>
      <b/>
      <u/>
      <sz val="10"/>
      <color rgb="FF366092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gradientFill degree="270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rgb="FFE4EAF4"/>
        <bgColor indexed="64"/>
      </patternFill>
    </fill>
  </fills>
  <borders count="16">
    <border>
      <left/>
      <right/>
      <top/>
      <bottom/>
      <diagonal/>
    </border>
    <border>
      <left style="thin">
        <color indexed="62"/>
      </left>
      <right style="thin">
        <color indexed="62"/>
      </right>
      <top style="medium">
        <color indexed="62"/>
      </top>
      <bottom style="thin">
        <color indexed="62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 style="medium">
        <color indexed="62"/>
      </top>
      <bottom style="thin">
        <color indexed="62"/>
      </bottom>
      <diagonal/>
    </border>
    <border>
      <left/>
      <right style="thin">
        <color indexed="62"/>
      </right>
      <top style="medium">
        <color indexed="62"/>
      </top>
      <bottom style="thin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2"/>
      </top>
      <bottom style="medium">
        <color indexed="62"/>
      </bottom>
      <diagonal/>
    </border>
    <border>
      <left/>
      <right/>
      <top/>
      <bottom style="medium">
        <color indexed="62"/>
      </bottom>
      <diagonal/>
    </border>
    <border>
      <left/>
      <right style="thin">
        <color indexed="62"/>
      </right>
      <top style="medium">
        <color indexed="62"/>
      </top>
      <bottom/>
      <diagonal/>
    </border>
    <border>
      <left/>
      <right style="thin">
        <color indexed="62"/>
      </right>
      <top/>
      <bottom style="thin">
        <color indexed="62"/>
      </bottom>
      <diagonal/>
    </border>
  </borders>
  <cellStyleXfs count="3">
    <xf numFmtId="0" fontId="0" fillId="0" borderId="0"/>
    <xf numFmtId="9" fontId="18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5" fillId="0" borderId="0" xfId="0" applyFont="1"/>
    <xf numFmtId="0" fontId="4" fillId="0" borderId="0" xfId="0" applyFont="1" applyAlignment="1">
      <alignment horizontal="left" wrapText="1" indent="1"/>
    </xf>
    <xf numFmtId="0" fontId="4" fillId="0" borderId="0" xfId="0" applyFont="1" applyAlignment="1">
      <alignment horizontal="right"/>
    </xf>
    <xf numFmtId="0" fontId="5" fillId="0" borderId="2" xfId="0" applyNumberFormat="1" applyFont="1" applyFill="1" applyBorder="1" applyAlignment="1">
      <alignment horizontal="left"/>
    </xf>
    <xf numFmtId="43" fontId="5" fillId="0" borderId="2" xfId="0" applyNumberFormat="1" applyFont="1" applyFill="1" applyBorder="1" applyAlignment="1"/>
    <xf numFmtId="43" fontId="5" fillId="3" borderId="2" xfId="0" applyNumberFormat="1" applyFont="1" applyFill="1" applyBorder="1" applyAlignment="1"/>
    <xf numFmtId="0" fontId="5" fillId="0" borderId="0" xfId="0" applyNumberFormat="1" applyFont="1" applyBorder="1" applyAlignment="1"/>
    <xf numFmtId="44" fontId="3" fillId="3" borderId="2" xfId="0" applyNumberFormat="1" applyFont="1" applyFill="1" applyBorder="1" applyAlignment="1"/>
    <xf numFmtId="0" fontId="5" fillId="0" borderId="3" xfId="0" applyNumberFormat="1" applyFont="1" applyBorder="1" applyAlignment="1"/>
    <xf numFmtId="0" fontId="4" fillId="0" borderId="4" xfId="0" applyFont="1" applyFill="1" applyBorder="1" applyAlignment="1">
      <alignment horizontal="right"/>
    </xf>
    <xf numFmtId="0" fontId="4" fillId="0" borderId="5" xfId="0" applyFont="1" applyFill="1" applyBorder="1" applyAlignment="1">
      <alignment horizontal="right"/>
    </xf>
    <xf numFmtId="44" fontId="4" fillId="4" borderId="0" xfId="0" applyNumberFormat="1" applyFont="1" applyFill="1" applyBorder="1" applyAlignment="1"/>
    <xf numFmtId="44" fontId="7" fillId="4" borderId="0" xfId="0" applyNumberFormat="1" applyFont="1" applyFill="1" applyBorder="1" applyAlignment="1">
      <alignment horizontal="left" vertical="center"/>
    </xf>
    <xf numFmtId="0" fontId="4" fillId="0" borderId="0" xfId="0" applyFont="1"/>
    <xf numFmtId="165" fontId="10" fillId="2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2" fillId="0" borderId="0" xfId="0" applyFont="1" applyAlignment="1"/>
    <xf numFmtId="0" fontId="2" fillId="5" borderId="0" xfId="0" applyFont="1" applyFill="1" applyAlignment="1"/>
    <xf numFmtId="0" fontId="11" fillId="5" borderId="0" xfId="0" applyFont="1" applyFill="1" applyAlignment="1">
      <alignment horizontal="right" vertical="center"/>
    </xf>
    <xf numFmtId="0" fontId="2" fillId="6" borderId="0" xfId="0" applyFont="1" applyFill="1"/>
    <xf numFmtId="0" fontId="3" fillId="0" borderId="0" xfId="0" applyFont="1" applyAlignment="1">
      <alignment horizontal="right"/>
    </xf>
    <xf numFmtId="44" fontId="9" fillId="4" borderId="11" xfId="0" applyNumberFormat="1" applyFont="1" applyFill="1" applyBorder="1" applyAlignment="1">
      <alignment vertical="center"/>
    </xf>
    <xf numFmtId="0" fontId="4" fillId="0" borderId="0" xfId="0" applyNumberFormat="1" applyFont="1" applyAlignment="1">
      <alignment horizontal="left"/>
    </xf>
    <xf numFmtId="0" fontId="15" fillId="7" borderId="0" xfId="0" applyFont="1" applyFill="1" applyAlignment="1">
      <alignment horizontal="left"/>
    </xf>
    <xf numFmtId="166" fontId="4" fillId="0" borderId="0" xfId="0" applyNumberFormat="1" applyFont="1" applyAlignment="1">
      <alignment horizontal="left"/>
    </xf>
    <xf numFmtId="165" fontId="5" fillId="0" borderId="12" xfId="0" applyNumberFormat="1" applyFont="1" applyFill="1" applyBorder="1" applyAlignment="1"/>
    <xf numFmtId="0" fontId="5" fillId="0" borderId="12" xfId="0" applyFont="1" applyBorder="1" applyAlignment="1"/>
    <xf numFmtId="1" fontId="5" fillId="0" borderId="2" xfId="0" applyNumberFormat="1" applyFont="1" applyFill="1" applyBorder="1" applyAlignment="1">
      <alignment horizontal="center"/>
    </xf>
    <xf numFmtId="0" fontId="11" fillId="5" borderId="0" xfId="0" applyFont="1" applyFill="1" applyAlignment="1">
      <alignment horizontal="right" vertical="center" indent="1"/>
    </xf>
    <xf numFmtId="0" fontId="5" fillId="0" borderId="13" xfId="0" applyFont="1" applyBorder="1" applyAlignment="1"/>
    <xf numFmtId="0" fontId="4" fillId="0" borderId="0" xfId="0" applyFont="1" applyAlignment="1"/>
    <xf numFmtId="0" fontId="5" fillId="0" borderId="0" xfId="0" applyFont="1" applyAlignment="1"/>
    <xf numFmtId="0" fontId="4" fillId="0" borderId="0" xfId="0" applyFont="1" applyAlignment="1">
      <alignment horizontal="left" indent="1"/>
    </xf>
    <xf numFmtId="0" fontId="5" fillId="0" borderId="10" xfId="0" applyFont="1" applyFill="1" applyBorder="1" applyAlignment="1">
      <alignment horizontal="left"/>
    </xf>
    <xf numFmtId="0" fontId="4" fillId="0" borderId="0" xfId="0" applyFont="1" applyAlignment="1">
      <alignment horizontal="left" indent="1"/>
    </xf>
    <xf numFmtId="2" fontId="6" fillId="0" borderId="2" xfId="1" applyNumberFormat="1" applyFont="1" applyFill="1" applyBorder="1" applyAlignment="1"/>
    <xf numFmtId="0" fontId="22" fillId="0" borderId="0" xfId="0" applyFont="1" applyAlignment="1">
      <alignment horizontal="right"/>
    </xf>
    <xf numFmtId="0" fontId="18" fillId="0" borderId="0" xfId="0" applyFont="1"/>
    <xf numFmtId="44" fontId="5" fillId="4" borderId="11" xfId="0" applyNumberFormat="1" applyFont="1" applyFill="1" applyBorder="1" applyAlignment="1">
      <alignment vertical="center"/>
    </xf>
    <xf numFmtId="0" fontId="3" fillId="0" borderId="0" xfId="0" applyFont="1" applyAlignment="1">
      <alignment horizontal="left" indent="1"/>
    </xf>
    <xf numFmtId="2" fontId="6" fillId="3" borderId="2" xfId="0" applyNumberFormat="1" applyFont="1" applyFill="1" applyBorder="1" applyAlignment="1"/>
    <xf numFmtId="0" fontId="10" fillId="2" borderId="14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left"/>
    </xf>
    <xf numFmtId="0" fontId="14" fillId="0" borderId="0" xfId="0" applyFont="1" applyBorder="1" applyAlignment="1">
      <alignment horizontal="left" wrapText="1" indent="1"/>
    </xf>
    <xf numFmtId="0" fontId="13" fillId="0" borderId="0" xfId="0" applyFont="1" applyBorder="1" applyAlignment="1">
      <alignment horizontal="left" indent="1"/>
    </xf>
    <xf numFmtId="0" fontId="8" fillId="4" borderId="8" xfId="0" applyNumberFormat="1" applyFont="1" applyFill="1" applyBorder="1" applyAlignment="1">
      <alignment horizontal="left"/>
    </xf>
    <xf numFmtId="167" fontId="4" fillId="0" borderId="9" xfId="0" applyNumberFormat="1" applyFont="1" applyBorder="1" applyAlignment="1">
      <alignment horizontal="center"/>
    </xf>
    <xf numFmtId="167" fontId="4" fillId="0" borderId="10" xfId="0" applyNumberFormat="1" applyFont="1" applyBorder="1" applyAlignment="1">
      <alignment horizontal="center"/>
    </xf>
    <xf numFmtId="0" fontId="20" fillId="4" borderId="0" xfId="0" applyNumberFormat="1" applyFont="1" applyFill="1" applyBorder="1" applyAlignment="1">
      <alignment horizontal="center" vertical="center" wrapText="1"/>
    </xf>
    <xf numFmtId="0" fontId="21" fillId="4" borderId="0" xfId="0" applyNumberFormat="1" applyFont="1" applyFill="1" applyBorder="1" applyAlignment="1">
      <alignment horizontal="center" vertical="center" wrapText="1"/>
    </xf>
    <xf numFmtId="0" fontId="19" fillId="4" borderId="0" xfId="0" applyNumberFormat="1" applyFont="1" applyFill="1" applyBorder="1" applyAlignment="1">
      <alignment horizontal="left" vertical="center" wrapText="1"/>
    </xf>
    <xf numFmtId="0" fontId="4" fillId="0" borderId="9" xfId="0" applyNumberFormat="1" applyFont="1" applyBorder="1" applyAlignment="1">
      <alignment horizontal="center"/>
    </xf>
    <xf numFmtId="0" fontId="4" fillId="0" borderId="10" xfId="0" applyNumberFormat="1" applyFont="1" applyBorder="1" applyAlignment="1">
      <alignment horizontal="center"/>
    </xf>
    <xf numFmtId="0" fontId="17" fillId="0" borderId="0" xfId="0" applyFont="1" applyAlignment="1">
      <alignment horizontal="left" vertical="top" wrapText="1"/>
    </xf>
    <xf numFmtId="0" fontId="4" fillId="0" borderId="0" xfId="0" applyFont="1" applyAlignment="1">
      <alignment horizontal="left" indent="1"/>
    </xf>
    <xf numFmtId="164" fontId="3" fillId="0" borderId="0" xfId="0" applyNumberFormat="1" applyFont="1" applyAlignment="1">
      <alignment horizontal="left" indent="1"/>
    </xf>
    <xf numFmtId="49" fontId="3" fillId="0" borderId="0" xfId="0" applyNumberFormat="1" applyFont="1" applyAlignment="1">
      <alignment horizontal="left" indent="1"/>
    </xf>
    <xf numFmtId="49" fontId="22" fillId="0" borderId="0" xfId="0" applyNumberFormat="1" applyFont="1" applyAlignment="1">
      <alignment horizontal="left" indent="1"/>
    </xf>
    <xf numFmtId="0" fontId="3" fillId="8" borderId="6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left" indent="1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</cellXfs>
  <cellStyles count="3">
    <cellStyle name="Hyperlink" xfId="2" builtinId="8" customBuiltin="1"/>
    <cellStyle name="Normal" xfId="0" builtinId="0"/>
    <cellStyle name="Percent" xfId="1" builtinId="5"/>
  </cellStyles>
  <dxfs count="1">
    <dxf>
      <font>
        <b/>
        <i val="0"/>
        <color rgb="FFC0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CECEC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366092"/>
      <color rgb="FFE4EAF4"/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</xdr:colOff>
      <xdr:row>45</xdr:row>
      <xdr:rowOff>295275</xdr:rowOff>
    </xdr:from>
    <xdr:to>
      <xdr:col>5</xdr:col>
      <xdr:colOff>781051</xdr:colOff>
      <xdr:row>45</xdr:row>
      <xdr:rowOff>571500</xdr:rowOff>
    </xdr:to>
    <xdr:sp macro="[0]!ConvertAndSave" textlink="">
      <xdr:nvSpPr>
        <xdr:cNvPr id="3" name="SaveButto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924425" y="9344025"/>
          <a:ext cx="762001" cy="276225"/>
        </a:xfrm>
        <a:prstGeom prst="roundRect">
          <a:avLst/>
        </a:prstGeom>
        <a:solidFill>
          <a:srgbClr val="E4EAF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27000" h="12700"/>
          <a:bevelB h="152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rgbClr val="366092"/>
              </a:solidFill>
              <a:latin typeface="Trebuchet MS" panose="020B0603020202020204" pitchFamily="34" charset="0"/>
            </a:rPr>
            <a:t>SAVE </a:t>
          </a:r>
          <a:endParaRPr lang="en-US" sz="1100" b="1">
            <a:solidFill>
              <a:srgbClr val="366092"/>
            </a:solidFill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219075</xdr:colOff>
      <xdr:row>0</xdr:row>
      <xdr:rowOff>381000</xdr:rowOff>
    </xdr:from>
    <xdr:to>
      <xdr:col>1</xdr:col>
      <xdr:colOff>1362075</xdr:colOff>
      <xdr:row>1</xdr:row>
      <xdr:rowOff>9525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8C876CC-C268-4163-A311-7D4688E70F6A}"/>
            </a:ext>
          </a:extLst>
        </xdr:cNvPr>
        <xdr:cNvSpPr txBox="1"/>
      </xdr:nvSpPr>
      <xdr:spPr>
        <a:xfrm>
          <a:off x="219075" y="381000"/>
          <a:ext cx="1819275" cy="33337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i="1">
              <a:latin typeface="Trebuchet MS" panose="020B0603020202020204" pitchFamily="34" charset="0"/>
            </a:rPr>
            <a:t>Company</a:t>
          </a:r>
          <a:r>
            <a:rPr lang="en-US" sz="1400" b="1" i="1" baseline="0">
              <a:latin typeface="Trebuchet MS" panose="020B0603020202020204" pitchFamily="34" charset="0"/>
            </a:rPr>
            <a:t> Branding</a:t>
          </a:r>
          <a:endParaRPr lang="en-US" sz="1400" b="1" i="1">
            <a:latin typeface="Trebuchet MS" panose="020B0603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icole\Dropbox%20(Xcite%20Audiovisuals)\Purchases\Vendo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ndors"/>
      <sheetName val="RMA Process"/>
    </sheetNames>
    <sheetDataSet>
      <sheetData sheetId="0">
        <row r="7">
          <cell r="A7" t="str">
            <v>Allcable</v>
          </cell>
          <cell r="B7" t="str">
            <v>164080</v>
          </cell>
          <cell r="C7" t="str">
            <v>rbright@allcableco.com</v>
          </cell>
          <cell r="D7">
            <v>3032950106</v>
          </cell>
          <cell r="E7" t="str">
            <v>Renee Bright
rbright@allcableco.com
www.allcableco.com</v>
          </cell>
          <cell r="F7" t="str">
            <v>665 E 56th Avenue</v>
          </cell>
          <cell r="G7" t="str">
            <v>Denver</v>
          </cell>
          <cell r="H7" t="str">
            <v>CO</v>
          </cell>
          <cell r="I7">
            <v>80216</v>
          </cell>
          <cell r="J7" t="str">
            <v>US</v>
          </cell>
          <cell r="K7"/>
          <cell r="L7" t="str">
            <v>Net 30</v>
          </cell>
          <cell r="M7"/>
          <cell r="N7"/>
        </row>
        <row r="8">
          <cell r="A8" t="str">
            <v>Allen &amp; Heath</v>
          </cell>
          <cell r="B8"/>
          <cell r="C8" t="str">
            <v>mike@protechm.com</v>
          </cell>
          <cell r="D8">
            <v>3034399545</v>
          </cell>
          <cell r="E8" t="str">
            <v>Mike Knudsen
mike@protechm.com</v>
          </cell>
          <cell r="F8" t="str">
            <v>Kernick Industrial Estate</v>
          </cell>
          <cell r="G8" t="str">
            <v>Penryn</v>
          </cell>
          <cell r="H8" t="str">
            <v>Cornwall</v>
          </cell>
          <cell r="I8" t="str">
            <v>TR10 9LU</v>
          </cell>
          <cell r="J8" t="str">
            <v>UK</v>
          </cell>
          <cell r="K8"/>
          <cell r="L8" t="str">
            <v>Net 30</v>
          </cell>
          <cell r="M8"/>
          <cell r="N8"/>
        </row>
        <row r="9">
          <cell r="A9" t="str">
            <v>Almo Pro AV</v>
          </cell>
          <cell r="B9" t="str">
            <v>501885D</v>
          </cell>
          <cell r="C9" t="str">
            <v>jfisher@almo.com</v>
          </cell>
          <cell r="D9">
            <v>8884202566</v>
          </cell>
          <cell r="E9" t="str">
            <v>Jennifer Fisher
jfisher@almo.com
206.200.8439
888.420.2566 x6552</v>
          </cell>
          <cell r="F9" t="str">
            <v>2709 Commerce Way</v>
          </cell>
          <cell r="G9" t="str">
            <v>Philadelphia</v>
          </cell>
          <cell r="H9" t="str">
            <v>PA</v>
          </cell>
          <cell r="I9">
            <v>19154</v>
          </cell>
          <cell r="J9" t="str">
            <v>US</v>
          </cell>
          <cell r="K9"/>
          <cell r="L9" t="str">
            <v>Net 30</v>
          </cell>
          <cell r="M9">
            <v>0.16666666666666666</v>
          </cell>
          <cell r="N9" t="str">
            <v>QTY 9 Kramer VP-425 in warehouse
Reno, Dallas, Ohio - 12:30</v>
          </cell>
        </row>
        <row r="10">
          <cell r="A10" t="str">
            <v>Amazon</v>
          </cell>
          <cell r="B10"/>
          <cell r="C10" t="str">
            <v>Website</v>
          </cell>
          <cell r="D10">
            <v>8882803321</v>
          </cell>
          <cell r="E10" t="str">
            <v>smile.amazon.com</v>
          </cell>
          <cell r="F10" t="str">
            <v>1200 12th Avenue South, Suite 1200</v>
          </cell>
          <cell r="G10" t="str">
            <v>Seattle</v>
          </cell>
          <cell r="H10" t="str">
            <v>WA</v>
          </cell>
          <cell r="I10">
            <v>98144</v>
          </cell>
          <cell r="J10" t="str">
            <v>US</v>
          </cell>
          <cell r="K10" t="str">
            <v>2 DAY FREE</v>
          </cell>
          <cell r="L10" t="str">
            <v>Credit Card</v>
          </cell>
          <cell r="M10"/>
          <cell r="N10"/>
        </row>
        <row r="11">
          <cell r="A11" t="str">
            <v>AMX</v>
          </cell>
          <cell r="B11" t="str">
            <v>71597</v>
          </cell>
          <cell r="C11" t="str">
            <v>order.entry@harman.com</v>
          </cell>
          <cell r="D11">
            <v>8002220193</v>
          </cell>
          <cell r="E11" t="str">
            <v>order.entry@harman.com  -  orders
Dana Nickel
dana.nickel@harman.com - questions
amxrma@harman.com - returns/repairs</v>
          </cell>
          <cell r="F11" t="str">
            <v>PO Box 300111</v>
          </cell>
          <cell r="G11" t="str">
            <v>Dallas</v>
          </cell>
          <cell r="H11" t="str">
            <v>TX</v>
          </cell>
          <cell r="I11">
            <v>75303</v>
          </cell>
          <cell r="J11" t="str">
            <v>US</v>
          </cell>
          <cell r="K11"/>
          <cell r="L11" t="str">
            <v>4% Net 30</v>
          </cell>
          <cell r="M11">
            <v>0.16666666666666666</v>
          </cell>
          <cell r="N11"/>
        </row>
        <row r="12">
          <cell r="A12" t="str">
            <v>Audio-Technica</v>
          </cell>
          <cell r="B12" t="str">
            <v>1000004576</v>
          </cell>
          <cell r="C12" t="str">
            <v>don@signalreps.com</v>
          </cell>
          <cell r="D12">
            <v>3306862600</v>
          </cell>
          <cell r="E12" t="str">
            <v>don@signalreps.com
www.audio-technica.com</v>
          </cell>
          <cell r="F12" t="str">
            <v>1221 Commerce Drive</v>
          </cell>
          <cell r="G12" t="str">
            <v>Stow</v>
          </cell>
          <cell r="H12" t="str">
            <v>OH</v>
          </cell>
          <cell r="I12">
            <v>44224</v>
          </cell>
          <cell r="J12" t="str">
            <v>US</v>
          </cell>
          <cell r="K12"/>
          <cell r="L12" t="str">
            <v>Net 30</v>
          </cell>
          <cell r="M12"/>
          <cell r="N12"/>
        </row>
        <row r="13">
          <cell r="A13" t="str">
            <v>Audix</v>
          </cell>
          <cell r="B13" t="str">
            <v>80112B</v>
          </cell>
          <cell r="C13" t="str">
            <v>lynn@audixusa.com</v>
          </cell>
          <cell r="D13">
            <v>5036826933</v>
          </cell>
          <cell r="E13" t="str">
            <v>Lynn@audixusa.com</v>
          </cell>
          <cell r="F13" t="str">
            <v>PO Box 4010
9400 SW Barber Street</v>
          </cell>
          <cell r="G13" t="str">
            <v>Wilsonville</v>
          </cell>
          <cell r="H13" t="str">
            <v>OR</v>
          </cell>
          <cell r="I13">
            <v>97070</v>
          </cell>
          <cell r="J13" t="str">
            <v>US</v>
          </cell>
          <cell r="K13"/>
          <cell r="L13" t="str">
            <v>Credit Card</v>
          </cell>
          <cell r="M13"/>
          <cell r="N13"/>
        </row>
        <row r="14">
          <cell r="A14" t="str">
            <v>Autonomic</v>
          </cell>
          <cell r="B14"/>
          <cell r="C14" t="str">
            <v>bpitman@perfplusmktg.com</v>
          </cell>
          <cell r="D14">
            <v>9145981647</v>
          </cell>
          <cell r="E14" t="str">
            <v>bpitman@perfplusmktg.com</v>
          </cell>
          <cell r="F14"/>
          <cell r="G14"/>
          <cell r="H14"/>
          <cell r="I14"/>
          <cell r="J14"/>
          <cell r="K14"/>
          <cell r="L14" t="str">
            <v>Net 30</v>
          </cell>
          <cell r="M14"/>
          <cell r="N14"/>
        </row>
        <row r="15">
          <cell r="A15" t="str">
            <v>AVAD</v>
          </cell>
          <cell r="B15" t="str">
            <v>133XCITAUD</v>
          </cell>
          <cell r="C15" t="str">
            <v>133.centennial.co@avad.com</v>
          </cell>
          <cell r="D15">
            <v>3039281000</v>
          </cell>
          <cell r="E15" t="str">
            <v>133.centennial.co@avad.com</v>
          </cell>
          <cell r="F15" t="str">
            <v>7367 S Revere Parkway 1A</v>
          </cell>
          <cell r="G15" t="str">
            <v>Centennial</v>
          </cell>
          <cell r="H15" t="str">
            <v>CO</v>
          </cell>
          <cell r="I15">
            <v>80112</v>
          </cell>
          <cell r="J15" t="str">
            <v>US</v>
          </cell>
          <cell r="K15" t="str">
            <v>WILL CALL</v>
          </cell>
          <cell r="L15" t="str">
            <v>Net 30</v>
          </cell>
          <cell r="M15"/>
          <cell r="N15"/>
        </row>
        <row r="16">
          <cell r="A16" t="str">
            <v>B&amp;H</v>
          </cell>
          <cell r="B16"/>
          <cell r="C16" t="str">
            <v>Website</v>
          </cell>
          <cell r="D16" t="str">
            <v>800.482.8143</v>
          </cell>
          <cell r="E16"/>
          <cell r="F16" t="str">
            <v>PO BOX 8698</v>
          </cell>
          <cell r="G16" t="str">
            <v>New York</v>
          </cell>
          <cell r="H16" t="str">
            <v>NY</v>
          </cell>
          <cell r="I16">
            <v>10116</v>
          </cell>
          <cell r="J16" t="str">
            <v>US</v>
          </cell>
          <cell r="K16" t="str">
            <v>Free Expedited</v>
          </cell>
          <cell r="L16" t="str">
            <v>Credit Card</v>
          </cell>
          <cell r="M16"/>
          <cell r="N16"/>
        </row>
        <row r="17">
          <cell r="A17" t="str">
            <v>Barco (Clickshare)</v>
          </cell>
          <cell r="B17"/>
          <cell r="C17" t="str">
            <v>insidesales.fol@barco.com</v>
          </cell>
          <cell r="D17" t="str">
            <v>916.622.1778</v>
          </cell>
          <cell r="E17"/>
          <cell r="F17"/>
          <cell r="G17"/>
          <cell r="H17"/>
          <cell r="I17"/>
          <cell r="J17"/>
          <cell r="K17"/>
          <cell r="L17"/>
          <cell r="M17"/>
          <cell r="N17"/>
        </row>
        <row r="18">
          <cell r="A18" t="str">
            <v>Barco Inc</v>
          </cell>
          <cell r="B18" t="str">
            <v>370006636</v>
          </cell>
          <cell r="C18" t="str">
            <v>jim.burgin@barco.com</v>
          </cell>
          <cell r="D18" t="str">
            <v>303.567.2100</v>
          </cell>
          <cell r="E18" t="str">
            <v>jim.burgin@barco.com</v>
          </cell>
          <cell r="F18" t="str">
            <v>3078 Prospect Park Drive</v>
          </cell>
          <cell r="G18" t="str">
            <v>Rancho Cordova</v>
          </cell>
          <cell r="H18" t="str">
            <v>CA</v>
          </cell>
          <cell r="I18">
            <v>95670</v>
          </cell>
          <cell r="J18" t="str">
            <v>US</v>
          </cell>
          <cell r="K18"/>
          <cell r="L18" t="str">
            <v>Net 30</v>
          </cell>
          <cell r="M18"/>
          <cell r="N18"/>
        </row>
        <row r="19">
          <cell r="A19" t="str">
            <v>Beale Street Audio</v>
          </cell>
          <cell r="B19"/>
          <cell r="C19" t="str">
            <v xml:space="preserve">donpilkington@scowcroftandassociates.com </v>
          </cell>
          <cell r="D19" t="str">
            <v>844.489.2700</v>
          </cell>
          <cell r="E19"/>
          <cell r="F19" t="str">
            <v>122 Gayoso Avenue Ste 101</v>
          </cell>
          <cell r="G19" t="str">
            <v>Memphis</v>
          </cell>
          <cell r="H19" t="str">
            <v>TN</v>
          </cell>
          <cell r="I19">
            <v>38103</v>
          </cell>
          <cell r="J19" t="str">
            <v>US</v>
          </cell>
          <cell r="K19"/>
          <cell r="L19"/>
          <cell r="M19"/>
          <cell r="N19"/>
        </row>
        <row r="20">
          <cell r="A20" t="str">
            <v>Best Buy</v>
          </cell>
          <cell r="B20"/>
          <cell r="C20" t="str">
            <v>Website</v>
          </cell>
          <cell r="D20" t="str">
            <v>866-797-7367</v>
          </cell>
          <cell r="E20" t="str">
            <v>www.bestbuy.com</v>
          </cell>
          <cell r="F20" t="str">
            <v>7601 Penn Ave. S</v>
          </cell>
          <cell r="G20" t="str">
            <v>Richfield</v>
          </cell>
          <cell r="H20" t="str">
            <v>MN</v>
          </cell>
          <cell r="I20">
            <v>55423</v>
          </cell>
          <cell r="J20" t="str">
            <v>US</v>
          </cell>
          <cell r="K20" t="str">
            <v>Free Expedited</v>
          </cell>
          <cell r="L20" t="str">
            <v>Credit Card</v>
          </cell>
          <cell r="M20"/>
          <cell r="N20"/>
        </row>
        <row r="21">
          <cell r="A21" t="str">
            <v>Biamp</v>
          </cell>
          <cell r="B21" t="str">
            <v>2036</v>
          </cell>
          <cell r="C21" t="str">
            <v>orders@biamp.com</v>
          </cell>
          <cell r="D21">
            <v>5036417287</v>
          </cell>
          <cell r="E21" t="str">
            <v>orders@biamp.com - orders &amp; returns
support@biamp.com - repairs &amp; tech support</v>
          </cell>
          <cell r="F21" t="str">
            <v>9300 SW Gemini Drive</v>
          </cell>
          <cell r="G21" t="str">
            <v>Beaverton</v>
          </cell>
          <cell r="H21" t="str">
            <v>OR</v>
          </cell>
          <cell r="I21">
            <v>97008</v>
          </cell>
          <cell r="J21" t="str">
            <v>US</v>
          </cell>
          <cell r="K21"/>
          <cell r="L21" t="str">
            <v>Net 30</v>
          </cell>
          <cell r="M21"/>
          <cell r="N21" t="str">
            <v>Does not ship same-day except overnight orders.</v>
          </cell>
        </row>
        <row r="22">
          <cell r="A22" t="str">
            <v>Black Box</v>
          </cell>
          <cell r="B22" t="str">
            <v>XciteAV</v>
          </cell>
          <cell r="C22" t="str">
            <v>Website</v>
          </cell>
          <cell r="D22">
            <v>7247465500</v>
          </cell>
          <cell r="E22"/>
          <cell r="F22" t="str">
            <v>1000 Park Drive</v>
          </cell>
          <cell r="G22" t="str">
            <v>Lawrence</v>
          </cell>
          <cell r="H22" t="str">
            <v>PA</v>
          </cell>
          <cell r="I22">
            <v>15055</v>
          </cell>
          <cell r="J22" t="str">
            <v>US</v>
          </cell>
          <cell r="K22"/>
          <cell r="L22" t="str">
            <v>Net 30</v>
          </cell>
          <cell r="M22"/>
          <cell r="N22"/>
        </row>
        <row r="23">
          <cell r="A23" t="str">
            <v>BTX</v>
          </cell>
          <cell r="B23" t="str">
            <v>29804</v>
          </cell>
          <cell r="C23" t="str">
            <v>tims@btx.com</v>
          </cell>
          <cell r="D23" t="str">
            <v>914.592.1800 ext. 367</v>
          </cell>
          <cell r="E23" t="str">
            <v>tims@btx.com - orders</v>
          </cell>
          <cell r="F23" t="str">
            <v>5 Skyline Drive</v>
          </cell>
          <cell r="G23" t="str">
            <v>Hawthorne</v>
          </cell>
          <cell r="H23" t="str">
            <v>NY</v>
          </cell>
          <cell r="I23">
            <v>10532</v>
          </cell>
          <cell r="J23" t="str">
            <v>US</v>
          </cell>
          <cell r="K23"/>
          <cell r="L23" t="str">
            <v>Net 30</v>
          </cell>
          <cell r="M23"/>
          <cell r="N23"/>
        </row>
        <row r="24">
          <cell r="A24" t="str">
            <v>Cables To Go</v>
          </cell>
          <cell r="B24" t="str">
            <v>12061154</v>
          </cell>
          <cell r="C24" t="str">
            <v>Website</v>
          </cell>
          <cell r="D24" t="str">
            <v>800.506.9607</v>
          </cell>
          <cell r="E24" t="str">
            <v>cablestogo.com</v>
          </cell>
          <cell r="F24"/>
          <cell r="G24"/>
          <cell r="H24"/>
          <cell r="I24"/>
          <cell r="J24"/>
          <cell r="K24"/>
          <cell r="L24" t="str">
            <v>Credit Card</v>
          </cell>
          <cell r="M24"/>
          <cell r="N24"/>
        </row>
        <row r="25">
          <cell r="A25" t="str">
            <v>Channel Master</v>
          </cell>
          <cell r="B25"/>
          <cell r="C25" t="str">
            <v>Website</v>
          </cell>
          <cell r="D25"/>
          <cell r="E25"/>
          <cell r="F25"/>
          <cell r="G25"/>
          <cell r="H25"/>
          <cell r="I25"/>
          <cell r="J25"/>
          <cell r="K25"/>
          <cell r="L25" t="str">
            <v>Credit Card</v>
          </cell>
          <cell r="M25"/>
          <cell r="N25"/>
        </row>
        <row r="26">
          <cell r="A26" t="str">
            <v>Christie</v>
          </cell>
          <cell r="B26"/>
          <cell r="C26" t="str">
            <v>teresaf@jbanda.com</v>
          </cell>
          <cell r="D26" t="str">
            <v>916.790.5730</v>
          </cell>
          <cell r="E26" t="str">
            <v>teresaf@jbanda.com</v>
          </cell>
          <cell r="F26"/>
          <cell r="G26"/>
          <cell r="H26"/>
          <cell r="I26"/>
          <cell r="J26"/>
          <cell r="K26"/>
          <cell r="L26" t="str">
            <v>Net 30</v>
          </cell>
          <cell r="M26"/>
          <cell r="N26"/>
        </row>
        <row r="27">
          <cell r="A27" t="str">
            <v>ClearOne</v>
          </cell>
          <cell r="B27"/>
          <cell r="C27" t="str">
            <v>orders@clearone.com</v>
          </cell>
          <cell r="D27">
            <v>8019757200</v>
          </cell>
          <cell r="E27"/>
          <cell r="F27" t="str">
            <v>5225 Wiley Post Way Ste 500</v>
          </cell>
          <cell r="G27" t="str">
            <v>Salt Lake City</v>
          </cell>
          <cell r="H27" t="str">
            <v>UT</v>
          </cell>
          <cell r="I27">
            <v>84116</v>
          </cell>
          <cell r="J27" t="str">
            <v>US</v>
          </cell>
          <cell r="K27"/>
          <cell r="L27" t="str">
            <v>$18.52 Account Credit</v>
          </cell>
          <cell r="M27"/>
          <cell r="N27" t="str">
            <v>when requesting an RMA for exchange or repair please forward your RMA request to our Technical Support dept at tech.support@clearone.com for troubleshooting.  They will provide you with a case # when they have deemed the product defective and then forward the case # to the RMA dept for processing.
After they have assigned a case # and provided it to you, please follow up with the RMA dept at rma@clearone.com for status of the RMA process.</v>
          </cell>
        </row>
        <row r="28">
          <cell r="A28" t="str">
            <v>Cleerline Technology</v>
          </cell>
          <cell r="B28"/>
          <cell r="C28" t="str">
            <v>Website</v>
          </cell>
          <cell r="D28">
            <v>8664692487</v>
          </cell>
          <cell r="E28" t="str">
            <v>orders@clrtec.com</v>
          </cell>
          <cell r="F28"/>
          <cell r="G28"/>
          <cell r="H28"/>
          <cell r="I28"/>
          <cell r="J28"/>
          <cell r="K28"/>
          <cell r="L28" t="str">
            <v>Credit Card</v>
          </cell>
          <cell r="M28"/>
          <cell r="N28"/>
        </row>
        <row r="29">
          <cell r="A29" t="str">
            <v>Computer Security Products</v>
          </cell>
          <cell r="B29" t="str">
            <v>20880</v>
          </cell>
          <cell r="C29" t="str">
            <v>johnt@computersecurity.com</v>
          </cell>
          <cell r="D29" t="str">
            <v>603.889.9899</v>
          </cell>
          <cell r="E29" t="str">
            <v>John Themistos
john@computersecurity.com</v>
          </cell>
          <cell r="F29" t="str">
            <v>PO BOX 7549</v>
          </cell>
          <cell r="G29" t="str">
            <v>Nashua</v>
          </cell>
          <cell r="H29" t="str">
            <v>NH</v>
          </cell>
          <cell r="I29">
            <v>3060</v>
          </cell>
          <cell r="J29" t="str">
            <v>US</v>
          </cell>
          <cell r="K29"/>
          <cell r="L29" t="str">
            <v>Credit Card</v>
          </cell>
          <cell r="M29"/>
          <cell r="N29" t="str">
            <v>$30 Rewards points - RPPHZT</v>
          </cell>
        </row>
        <row r="30">
          <cell r="A30" t="str">
            <v>Core Brands</v>
          </cell>
          <cell r="B30" t="str">
            <v>CUS2666</v>
          </cell>
          <cell r="C30" t="str">
            <v>Website</v>
          </cell>
          <cell r="D30">
            <v>8004725555</v>
          </cell>
          <cell r="E30"/>
          <cell r="F30" t="str">
            <v>1800 South McDowell Blvd</v>
          </cell>
          <cell r="G30" t="str">
            <v>Petaluma</v>
          </cell>
          <cell r="H30" t="str">
            <v>CA</v>
          </cell>
          <cell r="I30">
            <v>94954</v>
          </cell>
          <cell r="J30" t="str">
            <v>US</v>
          </cell>
          <cell r="K30" t="str">
            <v>Free Ground</v>
          </cell>
          <cell r="L30" t="str">
            <v>Net 30</v>
          </cell>
          <cell r="M30"/>
          <cell r="N30"/>
        </row>
        <row r="31">
          <cell r="A31" t="str">
            <v>Countryman</v>
          </cell>
          <cell r="B31" t="str">
            <v>CXCAU01</v>
          </cell>
          <cell r="C31" t="str">
            <v>naomi@countryman.com</v>
          </cell>
          <cell r="D31" t="str">
            <v>800.669.1422</v>
          </cell>
          <cell r="E31"/>
          <cell r="F31" t="str">
            <v>195 Constitution Dr</v>
          </cell>
          <cell r="G31" t="str">
            <v>Menlow Park</v>
          </cell>
          <cell r="H31" t="str">
            <v>CA</v>
          </cell>
          <cell r="I31">
            <v>94025</v>
          </cell>
          <cell r="J31" t="str">
            <v>US</v>
          </cell>
          <cell r="K31"/>
          <cell r="L31" t="str">
            <v>Credit Card</v>
          </cell>
          <cell r="M31"/>
          <cell r="N31"/>
        </row>
        <row r="32">
          <cell r="A32" t="str">
            <v>Crestron Electronics</v>
          </cell>
          <cell r="B32" t="str">
            <v>1007536</v>
          </cell>
          <cell r="C32" t="str">
            <v>orders@crestron.com</v>
          </cell>
          <cell r="D32">
            <v>2017673400</v>
          </cell>
          <cell r="E32" t="str">
            <v>orders@crestron.com</v>
          </cell>
          <cell r="F32" t="str">
            <v>15 Volvo Drive</v>
          </cell>
          <cell r="G32" t="str">
            <v>Rockleigh</v>
          </cell>
          <cell r="H32" t="str">
            <v>NJ</v>
          </cell>
          <cell r="I32">
            <v>7647</v>
          </cell>
          <cell r="J32" t="str">
            <v>US</v>
          </cell>
          <cell r="K32"/>
          <cell r="L32" t="str">
            <v>Net 30</v>
          </cell>
          <cell r="M32">
            <v>0.54166666666666663</v>
          </cell>
          <cell r="N32"/>
        </row>
        <row r="33">
          <cell r="A33" t="str">
            <v>Cutting Edge Distribution</v>
          </cell>
          <cell r="B33"/>
          <cell r="C33" t="str">
            <v>Call</v>
          </cell>
          <cell r="D33" t="str">
            <v>303.671.8901</v>
          </cell>
          <cell r="E33" t="str">
            <v>www.cuttingedgedist.com</v>
          </cell>
          <cell r="F33" t="str">
            <v>10703 E Bethany Drive</v>
          </cell>
          <cell r="G33" t="str">
            <v>Aurora</v>
          </cell>
          <cell r="H33" t="str">
            <v>CO</v>
          </cell>
          <cell r="I33">
            <v>80014</v>
          </cell>
          <cell r="J33" t="str">
            <v>US</v>
          </cell>
          <cell r="K33"/>
          <cell r="L33" t="str">
            <v>Net 30</v>
          </cell>
          <cell r="M33"/>
          <cell r="N33"/>
        </row>
        <row r="34">
          <cell r="A34" t="str">
            <v>Definitive Technology</v>
          </cell>
          <cell r="B34" t="str">
            <v>CITE</v>
          </cell>
          <cell r="C34" t="str">
            <v>Website</v>
          </cell>
          <cell r="D34">
            <v>8002287148</v>
          </cell>
          <cell r="E34" t="str">
            <v>www.definitivedealers.com</v>
          </cell>
          <cell r="F34" t="str">
            <v>11433 Cronridge Drive, Suite K</v>
          </cell>
          <cell r="G34" t="str">
            <v>Owings Mills</v>
          </cell>
          <cell r="H34" t="str">
            <v>MD</v>
          </cell>
          <cell r="I34">
            <v>21117</v>
          </cell>
          <cell r="J34" t="str">
            <v>US</v>
          </cell>
          <cell r="K34"/>
          <cell r="L34" t="str">
            <v>5% Net 30</v>
          </cell>
          <cell r="M34"/>
          <cell r="N34" t="str">
            <v>Stock:  UIW RCS II, Mythos XTR-SSA3</v>
          </cell>
        </row>
        <row r="35">
          <cell r="A35" t="str">
            <v>Digital Projection</v>
          </cell>
          <cell r="B35"/>
          <cell r="C35"/>
          <cell r="D35" t="str">
            <v>770.420.1350</v>
          </cell>
          <cell r="E35" t="str">
            <v>Jim Groover
832.541.7751
jgroover@digitalproductions.com
www.digitalprojection.com</v>
          </cell>
          <cell r="F35" t="str">
            <v>55 Chastain Road NW, Suite 115</v>
          </cell>
          <cell r="G35" t="str">
            <v>Kennesaw</v>
          </cell>
          <cell r="H35" t="str">
            <v>GA</v>
          </cell>
          <cell r="I35">
            <v>30144</v>
          </cell>
          <cell r="J35" t="str">
            <v>US</v>
          </cell>
          <cell r="K35"/>
          <cell r="L35" t="str">
            <v>2% Net 30</v>
          </cell>
          <cell r="M35"/>
          <cell r="N35"/>
        </row>
        <row r="36">
          <cell r="A36" t="str">
            <v>DWI Enterprises</v>
          </cell>
          <cell r="B36" t="str">
            <v>XCITE</v>
          </cell>
          <cell r="C36" t="str">
            <v>ddelgleize@dwienterprises.com; adelgleize@dwienterprises.com</v>
          </cell>
          <cell r="D36">
            <v>7148422236</v>
          </cell>
          <cell r="E36"/>
          <cell r="F36" t="str">
            <v>17771 Sampson Lane</v>
          </cell>
          <cell r="G36" t="str">
            <v>Huntington Beach</v>
          </cell>
          <cell r="H36" t="str">
            <v>CA</v>
          </cell>
          <cell r="I36">
            <v>92647</v>
          </cell>
          <cell r="J36" t="str">
            <v>US</v>
          </cell>
          <cell r="K36"/>
          <cell r="L36" t="str">
            <v>25% Deposit / Net 30</v>
          </cell>
          <cell r="M36"/>
          <cell r="N36"/>
        </row>
        <row r="37">
          <cell r="A37" t="str">
            <v>Extron</v>
          </cell>
          <cell r="B37" t="str">
            <v>01*16669</v>
          </cell>
          <cell r="C37" t="str">
            <v>sw-orders@extron.com</v>
          </cell>
          <cell r="D37">
            <v>7144911500</v>
          </cell>
          <cell r="E37" t="str">
            <v>sw-orders@extron.com</v>
          </cell>
          <cell r="F37" t="str">
            <v>1025 E Ball Road</v>
          </cell>
          <cell r="G37" t="str">
            <v>Anaheim</v>
          </cell>
          <cell r="H37" t="str">
            <v>CA</v>
          </cell>
          <cell r="I37">
            <v>92805</v>
          </cell>
          <cell r="J37" t="str">
            <v>US</v>
          </cell>
          <cell r="K37"/>
          <cell r="L37" t="str">
            <v>Net 30</v>
          </cell>
          <cell r="M37">
            <v>0.625</v>
          </cell>
          <cell r="N37"/>
        </row>
        <row r="38">
          <cell r="A38" t="str">
            <v>FSR</v>
          </cell>
          <cell r="B38" t="str">
            <v>9446</v>
          </cell>
          <cell r="C38" t="str">
            <v>support@j-a-m-s.com</v>
          </cell>
          <cell r="D38">
            <v>9737854347</v>
          </cell>
          <cell r="E38" t="str">
            <v>Jack Aragon
support@j-a-m-s.com</v>
          </cell>
          <cell r="F38" t="str">
            <v>244 Bergen Boulevard</v>
          </cell>
          <cell r="G38" t="str">
            <v>Woodland Park</v>
          </cell>
          <cell r="H38" t="str">
            <v>NJ</v>
          </cell>
          <cell r="I38" t="str">
            <v>07424</v>
          </cell>
          <cell r="J38" t="str">
            <v>US</v>
          </cell>
          <cell r="K38"/>
          <cell r="L38" t="str">
            <v>Net 30</v>
          </cell>
          <cell r="M38"/>
          <cell r="N38"/>
        </row>
        <row r="39">
          <cell r="A39" t="str">
            <v>Full Compass</v>
          </cell>
          <cell r="B39" t="str">
            <v>CUC1234498</v>
          </cell>
          <cell r="C39" t="str">
            <v>bayer@fullcompass.com</v>
          </cell>
          <cell r="D39">
            <v>8003565844</v>
          </cell>
          <cell r="E39" t="str">
            <v>John Bayer
bayer@fullcompass.com
800-356-5844 x1184</v>
          </cell>
          <cell r="F39" t="str">
            <v>9770 Silicon Prairie Pkwy</v>
          </cell>
          <cell r="G39" t="str">
            <v>Madison</v>
          </cell>
          <cell r="H39" t="str">
            <v>WI</v>
          </cell>
          <cell r="I39">
            <v>53593</v>
          </cell>
          <cell r="J39" t="str">
            <v>US</v>
          </cell>
          <cell r="K39"/>
          <cell r="L39" t="str">
            <v>Credit Card</v>
          </cell>
          <cell r="M39"/>
          <cell r="N39"/>
        </row>
        <row r="40">
          <cell r="A40" t="str">
            <v>Graybar</v>
          </cell>
          <cell r="B40" t="str">
            <v>477905</v>
          </cell>
          <cell r="C40" t="str">
            <v>Jonas.Townsel@graybar.com</v>
          </cell>
          <cell r="D40">
            <v>3145735140</v>
          </cell>
          <cell r="E40" t="str">
            <v>Decker Squires
303.480.3054</v>
          </cell>
          <cell r="F40" t="str">
            <v>1375 West 47th Ave</v>
          </cell>
          <cell r="G40" t="str">
            <v>Denver</v>
          </cell>
          <cell r="H40" t="str">
            <v>CO</v>
          </cell>
          <cell r="I40">
            <v>80211</v>
          </cell>
          <cell r="J40" t="str">
            <v>US</v>
          </cell>
          <cell r="K40"/>
          <cell r="L40" t="str">
            <v>Net 30</v>
          </cell>
          <cell r="M40"/>
          <cell r="N40"/>
        </row>
        <row r="41">
          <cell r="A41" t="str">
            <v>Hall Research</v>
          </cell>
          <cell r="B41"/>
          <cell r="C41" t="str">
            <v>lauren@hallresearch.com</v>
          </cell>
          <cell r="D41">
            <v>7146416607</v>
          </cell>
          <cell r="E41" t="str">
            <v>Lauren Mueller</v>
          </cell>
          <cell r="F41" t="str">
            <v>1163 Warner Ave</v>
          </cell>
          <cell r="G41" t="str">
            <v>Tustin</v>
          </cell>
          <cell r="H41" t="str">
            <v>CA</v>
          </cell>
          <cell r="I41">
            <v>92780</v>
          </cell>
          <cell r="J41" t="str">
            <v>US</v>
          </cell>
          <cell r="K41"/>
          <cell r="L41" t="str">
            <v>Credit Card</v>
          </cell>
          <cell r="M41"/>
          <cell r="N41"/>
        </row>
        <row r="42">
          <cell r="A42" t="str">
            <v>Harman Professional</v>
          </cell>
          <cell r="B42" t="str">
            <v>110742</v>
          </cell>
          <cell r="C42" t="str">
            <v>tracie@hpmarketingcompany.com</v>
          </cell>
          <cell r="D42">
            <v>5742948000</v>
          </cell>
          <cell r="E42" t="str">
            <v>tracie@hpmarketingcompany.com</v>
          </cell>
          <cell r="F42" t="str">
            <v>1718 W Mishawaka Road</v>
          </cell>
          <cell r="G42" t="str">
            <v>Elkhart</v>
          </cell>
          <cell r="H42" t="str">
            <v>IN</v>
          </cell>
          <cell r="I42">
            <v>46517</v>
          </cell>
          <cell r="J42" t="str">
            <v>US</v>
          </cell>
          <cell r="K42"/>
          <cell r="L42" t="str">
            <v>4% 30, Net 31</v>
          </cell>
          <cell r="M42"/>
          <cell r="N42"/>
        </row>
        <row r="43">
          <cell r="A43" t="str">
            <v>Haverford Systems</v>
          </cell>
          <cell r="B43"/>
          <cell r="C43" t="str">
            <v>matthew.richards@haverford.com</v>
          </cell>
          <cell r="D43">
            <v>6105182200</v>
          </cell>
          <cell r="E43"/>
          <cell r="F43" t="str">
            <v>152 Robbins Rd</v>
          </cell>
          <cell r="G43" t="str">
            <v>Downingtown</v>
          </cell>
          <cell r="H43" t="str">
            <v>PA</v>
          </cell>
          <cell r="I43">
            <v>19335</v>
          </cell>
          <cell r="J43" t="str">
            <v>US</v>
          </cell>
          <cell r="K43"/>
          <cell r="L43" t="str">
            <v>Credit Card</v>
          </cell>
          <cell r="M43"/>
          <cell r="N43"/>
        </row>
        <row r="44">
          <cell r="A44" t="str">
            <v>HCA</v>
          </cell>
          <cell r="B44" t="str">
            <v>XcI1878</v>
          </cell>
          <cell r="C44" t="str">
            <v>Website</v>
          </cell>
          <cell r="D44">
            <v>3033398969</v>
          </cell>
          <cell r="E44"/>
          <cell r="F44" t="str">
            <v>2650 W 2nd Avenue #15</v>
          </cell>
          <cell r="G44" t="str">
            <v>Denver</v>
          </cell>
          <cell r="H44" t="str">
            <v>CO</v>
          </cell>
          <cell r="I44">
            <v>80219</v>
          </cell>
          <cell r="J44" t="str">
            <v>US</v>
          </cell>
          <cell r="K44" t="str">
            <v>Free Ground</v>
          </cell>
          <cell r="L44" t="str">
            <v>Credit Card</v>
          </cell>
          <cell r="M44"/>
          <cell r="N44" t="str">
            <v>Free shipping online</v>
          </cell>
        </row>
        <row r="45">
          <cell r="A45" t="str">
            <v>IAVI</v>
          </cell>
          <cell r="B45" t="str">
            <v>310646</v>
          </cell>
          <cell r="C45" t="str">
            <v>ChristinaS@IAVI.com</v>
          </cell>
          <cell r="D45" t="str">
            <v>888.999.6564</v>
          </cell>
          <cell r="E45"/>
          <cell r="F45" t="str">
            <v>5149 Powerline Road</v>
          </cell>
          <cell r="G45" t="str">
            <v>Fort Lauderdale</v>
          </cell>
          <cell r="H45" t="str">
            <v>FL</v>
          </cell>
          <cell r="I45">
            <v>33309</v>
          </cell>
          <cell r="J45" t="str">
            <v>US</v>
          </cell>
          <cell r="K45"/>
          <cell r="L45" t="str">
            <v>Net 30</v>
          </cell>
          <cell r="M45"/>
          <cell r="N45" t="str">
            <v>Account credit: $119 Free freight on Chief</v>
          </cell>
        </row>
        <row r="46">
          <cell r="A46" t="str">
            <v>IEC</v>
          </cell>
          <cell r="B46" t="str">
            <v>7711011</v>
          </cell>
          <cell r="C46" t="str">
            <v>Call</v>
          </cell>
          <cell r="D46">
            <v>3032885000</v>
          </cell>
          <cell r="E46"/>
          <cell r="F46" t="str">
            <v>6185 E 56th Ave  Suite A</v>
          </cell>
          <cell r="G46" t="str">
            <v>Commerce City</v>
          </cell>
          <cell r="H46" t="str">
            <v>CO</v>
          </cell>
          <cell r="I46">
            <v>80022</v>
          </cell>
          <cell r="J46" t="str">
            <v>US</v>
          </cell>
          <cell r="K46" t="str">
            <v>WILL CALL</v>
          </cell>
          <cell r="L46" t="str">
            <v>Net 30</v>
          </cell>
          <cell r="M46"/>
          <cell r="N46"/>
        </row>
        <row r="47">
          <cell r="A47" t="str">
            <v>INFOCUS</v>
          </cell>
          <cell r="B47" t="str">
            <v>1036169</v>
          </cell>
          <cell r="C47" t="str">
            <v>lainey@immrep.com</v>
          </cell>
          <cell r="D47">
            <v>5032074700</v>
          </cell>
          <cell r="E47" t="str">
            <v>Lainey Hawk
lainey@immrep.com
303.278.7800
Scott Largent
scottlargent@infocus.com
281.433.0938</v>
          </cell>
          <cell r="F47" t="str">
            <v>13190 SW 68th Parkway, Suite 200</v>
          </cell>
          <cell r="G47" t="str">
            <v>Portland</v>
          </cell>
          <cell r="H47" t="str">
            <v>OR</v>
          </cell>
          <cell r="I47">
            <v>97223</v>
          </cell>
          <cell r="J47" t="str">
            <v>US</v>
          </cell>
          <cell r="K47"/>
          <cell r="L47" t="str">
            <v>Net 30</v>
          </cell>
          <cell r="M47"/>
          <cell r="N47"/>
        </row>
        <row r="48">
          <cell r="A48" t="str">
            <v>Ingram Micro</v>
          </cell>
          <cell r="B48" t="str">
            <v>21-288501-000</v>
          </cell>
          <cell r="C48" t="str">
            <v>CTS-Southwest@ingrammicro.com</v>
          </cell>
          <cell r="D48" t="str">
            <v>303.287.7800</v>
          </cell>
          <cell r="E48" t="str">
            <v>CTS-Southwest@ingrammicro.com</v>
          </cell>
          <cell r="F48" t="str">
            <v>PO Box 90352</v>
          </cell>
          <cell r="G48" t="str">
            <v>Chicago</v>
          </cell>
          <cell r="H48" t="str">
            <v>IL</v>
          </cell>
          <cell r="I48">
            <v>60696</v>
          </cell>
          <cell r="J48" t="str">
            <v>US</v>
          </cell>
          <cell r="K48"/>
          <cell r="L48" t="str">
            <v>Net 30</v>
          </cell>
          <cell r="M48"/>
          <cell r="N48"/>
        </row>
        <row r="49">
          <cell r="A49" t="str">
            <v>InMusic Brands</v>
          </cell>
          <cell r="B49" t="str">
            <v>102313</v>
          </cell>
          <cell r="C49" t="str">
            <v>support@j-a-m-s.com</v>
          </cell>
          <cell r="D49">
            <v>9737854347</v>
          </cell>
          <cell r="E49"/>
          <cell r="F49"/>
          <cell r="G49"/>
          <cell r="H49"/>
          <cell r="I49"/>
          <cell r="J49"/>
          <cell r="K49"/>
          <cell r="L49"/>
          <cell r="M49"/>
          <cell r="N49"/>
        </row>
        <row r="50">
          <cell r="A50" t="str">
            <v>JB&amp;A Distribution</v>
          </cell>
          <cell r="B50"/>
          <cell r="C50" t="str">
            <v>adamo@jbanda.com</v>
          </cell>
          <cell r="D50" t="str">
            <v>415.256.2800</v>
          </cell>
          <cell r="E50" t="str">
            <v>Adam Ostlund
925.200.8185
adamo@jbanda.com</v>
          </cell>
          <cell r="F50" t="str">
            <v>1050 Northgate Drive, Suite 200</v>
          </cell>
          <cell r="G50" t="str">
            <v>San Rafael</v>
          </cell>
          <cell r="H50" t="str">
            <v>CA</v>
          </cell>
          <cell r="I50">
            <v>94903</v>
          </cell>
          <cell r="J50" t="str">
            <v>US</v>
          </cell>
          <cell r="K50"/>
          <cell r="L50"/>
          <cell r="M50"/>
          <cell r="N50"/>
        </row>
        <row r="51">
          <cell r="A51" t="str">
            <v>Juice Goose</v>
          </cell>
          <cell r="B51"/>
          <cell r="C51" t="str">
            <v>tracie@hpmarketingcompany.com</v>
          </cell>
          <cell r="D51">
            <v>7137721404</v>
          </cell>
          <cell r="E51" t="str">
            <v>tracie@hpmarketingcompany.com
www.juicegoose.com</v>
          </cell>
          <cell r="F51" t="str">
            <v>7320 Ashcroft Suite 104</v>
          </cell>
          <cell r="G51" t="str">
            <v>Houston</v>
          </cell>
          <cell r="H51" t="str">
            <v>TX</v>
          </cell>
          <cell r="I51">
            <v>77081</v>
          </cell>
          <cell r="J51" t="str">
            <v>US</v>
          </cell>
          <cell r="K51"/>
          <cell r="L51" t="str">
            <v>Credit Card</v>
          </cell>
          <cell r="M51"/>
          <cell r="N51"/>
        </row>
        <row r="52">
          <cell r="A52" t="str">
            <v>Just Lamps</v>
          </cell>
          <cell r="B52" t="str">
            <v>XCITEAUD</v>
          </cell>
          <cell r="C52" t="str">
            <v>Website</v>
          </cell>
          <cell r="D52">
            <v>8669952677</v>
          </cell>
          <cell r="E52" t="str">
            <v>justlamps.net</v>
          </cell>
          <cell r="F52" t="str">
            <v>334 Harris Hill Road</v>
          </cell>
          <cell r="G52" t="str">
            <v>Williamsville New York</v>
          </cell>
          <cell r="H52" t="str">
            <v>NY</v>
          </cell>
          <cell r="I52">
            <v>14221</v>
          </cell>
          <cell r="J52" t="str">
            <v>US</v>
          </cell>
          <cell r="K52"/>
          <cell r="L52" t="str">
            <v>Net 30</v>
          </cell>
          <cell r="M52"/>
          <cell r="N52"/>
        </row>
        <row r="53">
          <cell r="A53" t="str">
            <v>KEF</v>
          </cell>
          <cell r="B53" t="str">
            <v>12EAVU</v>
          </cell>
          <cell r="C53" t="str">
            <v>cmikush@sound-tech.com</v>
          </cell>
          <cell r="D53">
            <v>7326832356</v>
          </cell>
          <cell r="E53" t="str">
            <v>Char Mikush</v>
          </cell>
          <cell r="F53" t="str">
            <v>10 Timber Lane</v>
          </cell>
          <cell r="G53" t="str">
            <v>Marlboro</v>
          </cell>
          <cell r="H53" t="str">
            <v>NJ</v>
          </cell>
          <cell r="I53">
            <v>7746</v>
          </cell>
          <cell r="J53" t="str">
            <v>US</v>
          </cell>
          <cell r="K53"/>
          <cell r="L53" t="str">
            <v>Net 30</v>
          </cell>
          <cell r="M53"/>
          <cell r="N53"/>
        </row>
        <row r="54">
          <cell r="A54" t="str">
            <v>Key Digital</v>
          </cell>
          <cell r="B54" t="str">
            <v>0048777</v>
          </cell>
          <cell r="C54" t="str">
            <v>orders@keydigital.com; mark@br-sales.com</v>
          </cell>
          <cell r="D54">
            <v>9146679700</v>
          </cell>
          <cell r="E54" t="str">
            <v>Mark Pearson
mark@br-sales.com</v>
          </cell>
          <cell r="F54" t="str">
            <v>521 E 3rd Street</v>
          </cell>
          <cell r="G54" t="str">
            <v>Mount Vernon</v>
          </cell>
          <cell r="H54" t="str">
            <v>NY</v>
          </cell>
          <cell r="I54">
            <v>10553</v>
          </cell>
          <cell r="J54" t="str">
            <v>US</v>
          </cell>
          <cell r="K54"/>
          <cell r="L54" t="str">
            <v>Net 30</v>
          </cell>
          <cell r="M54"/>
          <cell r="N54" t="str">
            <v>Free shipping at $1500</v>
          </cell>
        </row>
        <row r="55">
          <cell r="A55" t="str">
            <v>Leading Edge Systems</v>
          </cell>
          <cell r="B55"/>
          <cell r="C55" t="str">
            <v>michael.lamelza@lesystems.com</v>
          </cell>
          <cell r="D55">
            <v>8002868985</v>
          </cell>
          <cell r="E55" t="str">
            <v>Michael Lamelza
michael.lamelza@lesystems.com</v>
          </cell>
          <cell r="F55" t="str">
            <v>3578 Hartsel Drive, Unit E320</v>
          </cell>
          <cell r="G55" t="str">
            <v>Colorado Springs</v>
          </cell>
          <cell r="H55" t="str">
            <v>CO</v>
          </cell>
          <cell r="I55">
            <v>80920</v>
          </cell>
          <cell r="J55" t="str">
            <v>US</v>
          </cell>
          <cell r="K55"/>
          <cell r="L55"/>
          <cell r="M55"/>
          <cell r="N55"/>
        </row>
        <row r="56">
          <cell r="A56" t="str">
            <v>Liberty AV</v>
          </cell>
          <cell r="B56" t="str">
            <v>X80134</v>
          </cell>
          <cell r="C56" t="str">
            <v>JPeete@libav.com; orders@libav.com</v>
          </cell>
          <cell r="D56" t="str">
            <v>800.530.8998</v>
          </cell>
          <cell r="E56"/>
          <cell r="F56" t="str">
            <v>11675 Ridgeline Drive</v>
          </cell>
          <cell r="G56" t="str">
            <v>Colorado Springs</v>
          </cell>
          <cell r="H56" t="str">
            <v>CO</v>
          </cell>
          <cell r="I56">
            <v>80921</v>
          </cell>
          <cell r="J56" t="str">
            <v>US</v>
          </cell>
          <cell r="K56"/>
          <cell r="L56" t="str">
            <v>Net 30</v>
          </cell>
          <cell r="M56"/>
          <cell r="N56"/>
        </row>
        <row r="57">
          <cell r="A57" t="str">
            <v>Listen Technologies</v>
          </cell>
          <cell r="B57" t="str">
            <v>XCIT0001</v>
          </cell>
          <cell r="C57" t="str">
            <v>orders@listentech.com</v>
          </cell>
          <cell r="D57">
            <v>8003300891</v>
          </cell>
          <cell r="E57" t="str">
            <v>orders@listentech.com</v>
          </cell>
          <cell r="F57" t="str">
            <v>14912 Heritagecrest Way</v>
          </cell>
          <cell r="G57" t="str">
            <v>Bluffdale</v>
          </cell>
          <cell r="H57" t="str">
            <v>UT</v>
          </cell>
          <cell r="I57">
            <v>84065</v>
          </cell>
          <cell r="J57" t="str">
            <v>US</v>
          </cell>
          <cell r="K57"/>
          <cell r="L57" t="str">
            <v>Net 30</v>
          </cell>
          <cell r="M57"/>
          <cell r="N57"/>
        </row>
        <row r="58">
          <cell r="A58" t="str">
            <v>Lowell Manufacturing</v>
          </cell>
          <cell r="B58" t="str">
            <v>6128</v>
          </cell>
          <cell r="C58" t="str">
            <v>orders@lowellmfg.com</v>
          </cell>
          <cell r="D58">
            <v>6362573400</v>
          </cell>
          <cell r="E58" t="str">
            <v>orders@lowellmfg.com</v>
          </cell>
          <cell r="F58" t="str">
            <v>100 Integram Drive</v>
          </cell>
          <cell r="G58" t="str">
            <v>Pacific</v>
          </cell>
          <cell r="H58" t="str">
            <v>MO</v>
          </cell>
          <cell r="I58">
            <v>63069</v>
          </cell>
          <cell r="J58" t="str">
            <v>US</v>
          </cell>
          <cell r="K58"/>
          <cell r="L58" t="str">
            <v>Net 30</v>
          </cell>
          <cell r="M58"/>
          <cell r="N58"/>
        </row>
        <row r="59">
          <cell r="A59" t="str">
            <v>MessageNet</v>
          </cell>
          <cell r="B59"/>
          <cell r="C59" t="str">
            <v>admin@messagenetsystems.com</v>
          </cell>
          <cell r="D59" t="str">
            <v>317.566.1677</v>
          </cell>
          <cell r="E59" t="str">
            <v>Dana Campbell
dana.campbell@messagenetsystems.com</v>
          </cell>
          <cell r="F59"/>
          <cell r="G59" t="str">
            <v>Carmel</v>
          </cell>
          <cell r="H59" t="str">
            <v>IN</v>
          </cell>
          <cell r="I59">
            <v>46032</v>
          </cell>
          <cell r="J59" t="str">
            <v>US</v>
          </cell>
          <cell r="K59"/>
          <cell r="L59" t="str">
            <v>Net 30</v>
          </cell>
          <cell r="M59"/>
          <cell r="N59"/>
        </row>
        <row r="60">
          <cell r="A60" t="str">
            <v>Metra</v>
          </cell>
          <cell r="B60" t="str">
            <v>47943E</v>
          </cell>
          <cell r="C60" t="str">
            <v>zaky@etherealhometheater.com</v>
          </cell>
          <cell r="D60">
            <v>8002210932</v>
          </cell>
          <cell r="E60" t="str">
            <v xml:space="preserve">Miranda Grantham
mirandag@etherealhometheater.com </v>
          </cell>
          <cell r="F60" t="str">
            <v>PO Box 864858</v>
          </cell>
          <cell r="G60" t="str">
            <v>Orlando</v>
          </cell>
          <cell r="H60" t="str">
            <v>FL</v>
          </cell>
          <cell r="I60">
            <v>32886</v>
          </cell>
          <cell r="J60" t="str">
            <v>US</v>
          </cell>
          <cell r="K60"/>
          <cell r="L60" t="str">
            <v>Account Credit</v>
          </cell>
          <cell r="M60"/>
          <cell r="N60" t="str">
            <v>$488.00 credit remaining (as of 6/23)</v>
          </cell>
        </row>
        <row r="61">
          <cell r="A61" t="str">
            <v>Middle Atlantic</v>
          </cell>
          <cell r="B61" t="str">
            <v>12978</v>
          </cell>
          <cell r="C61" t="str">
            <v>mary@protechm.com</v>
          </cell>
          <cell r="D61">
            <v>9738391011</v>
          </cell>
          <cell r="E61" t="str">
            <v>Mary Medina
mary@protechm.com
MAP inside sales: 800.266.7225</v>
          </cell>
          <cell r="F61" t="str">
            <v>Middle Atlantic Products Dept 2496</v>
          </cell>
          <cell r="G61" t="str">
            <v>Carol Stream</v>
          </cell>
          <cell r="H61" t="str">
            <v>IL</v>
          </cell>
          <cell r="I61">
            <v>60132</v>
          </cell>
          <cell r="J61" t="str">
            <v>US</v>
          </cell>
          <cell r="K61"/>
          <cell r="L61" t="str">
            <v>5% 30, Net 45</v>
          </cell>
          <cell r="M61"/>
          <cell r="N61"/>
        </row>
        <row r="62">
          <cell r="A62" t="str">
            <v>Milestone AV (Chief)</v>
          </cell>
          <cell r="B62">
            <v>136938</v>
          </cell>
          <cell r="C62" t="str">
            <v>orders@chiefmfg.com</v>
          </cell>
          <cell r="D62">
            <v>9522256001</v>
          </cell>
          <cell r="E62" t="str">
            <v>orders@chiefmfg.com</v>
          </cell>
          <cell r="F62" t="str">
            <v>6436 City West Parkway</v>
          </cell>
          <cell r="G62" t="str">
            <v>Eden Prairie</v>
          </cell>
          <cell r="H62" t="str">
            <v>MN</v>
          </cell>
          <cell r="I62">
            <v>55344</v>
          </cell>
          <cell r="J62" t="str">
            <v>US</v>
          </cell>
          <cell r="K62"/>
          <cell r="L62" t="str">
            <v>Net 60</v>
          </cell>
          <cell r="M62">
            <v>4.1666666666666664E-2</v>
          </cell>
          <cell r="N62" t="str">
            <v>$1000 Free Freight</v>
          </cell>
        </row>
        <row r="63">
          <cell r="A63" t="str">
            <v>Milestone AV (Da-Lite)</v>
          </cell>
          <cell r="B63">
            <v>136938</v>
          </cell>
          <cell r="C63" t="str">
            <v>orders@da-lite.com</v>
          </cell>
          <cell r="D63">
            <v>9522256001</v>
          </cell>
          <cell r="E63" t="str">
            <v>orders@da-lite.com</v>
          </cell>
          <cell r="F63" t="str">
            <v>6436 City West Parkway</v>
          </cell>
          <cell r="G63" t="str">
            <v>Eden Prairie</v>
          </cell>
          <cell r="H63" t="str">
            <v>MN</v>
          </cell>
          <cell r="I63">
            <v>55344</v>
          </cell>
          <cell r="J63" t="str">
            <v>US</v>
          </cell>
          <cell r="K63"/>
          <cell r="L63" t="str">
            <v>Net 60</v>
          </cell>
          <cell r="M63"/>
          <cell r="N63"/>
        </row>
        <row r="64">
          <cell r="A64" t="str">
            <v>Milestone AV (Sanus)</v>
          </cell>
          <cell r="B64">
            <v>136938</v>
          </cell>
          <cell r="C64" t="str">
            <v>orders@sanus.com</v>
          </cell>
          <cell r="D64">
            <v>9522256001</v>
          </cell>
          <cell r="E64" t="str">
            <v>orders@sanus.com</v>
          </cell>
          <cell r="F64" t="str">
            <v>6436 City West Parkway</v>
          </cell>
          <cell r="G64" t="str">
            <v>Eden Prairie</v>
          </cell>
          <cell r="H64" t="str">
            <v>MN</v>
          </cell>
          <cell r="I64">
            <v>55344</v>
          </cell>
          <cell r="J64" t="str">
            <v>US</v>
          </cell>
          <cell r="K64"/>
          <cell r="L64" t="str">
            <v>Net 60</v>
          </cell>
          <cell r="M64"/>
          <cell r="N64" t="str">
            <v>$1000 Free Freight</v>
          </cell>
        </row>
        <row r="65">
          <cell r="A65" t="str">
            <v>MiTek Distribution</v>
          </cell>
          <cell r="B65" t="str">
            <v>31011</v>
          </cell>
          <cell r="C65" t="str">
            <v>atlassalesorders@mitekusa.com</v>
          </cell>
          <cell r="D65">
            <v>8153673000</v>
          </cell>
          <cell r="E65" t="str">
            <v>atlassalesorders@mitekusa.com
Larry Bickford
cbem@msn.com
303.885.3979</v>
          </cell>
          <cell r="F65" t="str">
            <v>One MiTek Plaza</v>
          </cell>
          <cell r="G65" t="str">
            <v>Winslow</v>
          </cell>
          <cell r="H65" t="str">
            <v>IL</v>
          </cell>
          <cell r="I65">
            <v>61089</v>
          </cell>
          <cell r="J65" t="str">
            <v>US</v>
          </cell>
          <cell r="K65"/>
          <cell r="L65" t="str">
            <v>Net 30</v>
          </cell>
          <cell r="M65"/>
          <cell r="N65"/>
        </row>
        <row r="66">
          <cell r="A66" t="str">
            <v>Mountain West</v>
          </cell>
          <cell r="B66" t="str">
            <v>9429</v>
          </cell>
          <cell r="C66" t="str">
            <v>Call</v>
          </cell>
          <cell r="D66">
            <v>3033717777</v>
          </cell>
          <cell r="E66" t="str">
            <v>www.mwd1.com</v>
          </cell>
          <cell r="F66" t="str">
            <v>14135 E 42nd Ave #60</v>
          </cell>
          <cell r="G66" t="str">
            <v>Denver</v>
          </cell>
          <cell r="H66" t="str">
            <v>CO</v>
          </cell>
          <cell r="I66">
            <v>80239</v>
          </cell>
          <cell r="J66" t="str">
            <v>US</v>
          </cell>
          <cell r="K66" t="str">
            <v>Will Call</v>
          </cell>
          <cell r="L66" t="str">
            <v>Credit Card</v>
          </cell>
          <cell r="M66"/>
          <cell r="N66"/>
        </row>
        <row r="67">
          <cell r="A67" t="str">
            <v>MSE Audio (Phase Technology)</v>
          </cell>
          <cell r="B67" t="str">
            <v>03XCITE</v>
          </cell>
          <cell r="C67" t="str">
            <v>awatson@mseaudio.com; jdduran@mseaudio.com</v>
          </cell>
          <cell r="D67" t="str">
            <v>913.663.5600</v>
          </cell>
          <cell r="E67" t="str">
            <v>sales@mseaudio.com</v>
          </cell>
          <cell r="F67" t="str">
            <v>6400 Youngerman Circle</v>
          </cell>
          <cell r="G67" t="str">
            <v>Jacksonville</v>
          </cell>
          <cell r="H67" t="str">
            <v>FL</v>
          </cell>
          <cell r="I67">
            <v>32244</v>
          </cell>
          <cell r="J67" t="str">
            <v>US</v>
          </cell>
          <cell r="K67"/>
          <cell r="L67" t="str">
            <v>4% 20, Net 30</v>
          </cell>
          <cell r="M67"/>
          <cell r="N67" t="str">
            <v>Account Credit</v>
          </cell>
        </row>
        <row r="68">
          <cell r="A68" t="str">
            <v>MSE Audio (Rockustics)</v>
          </cell>
          <cell r="B68" t="str">
            <v>03XCITE</v>
          </cell>
          <cell r="C68" t="str">
            <v>awatson@mseaudio.com; jdduran@mseaudio.com</v>
          </cell>
          <cell r="D68" t="str">
            <v>913.663.5600</v>
          </cell>
          <cell r="E68" t="str">
            <v>sales@mseaudio.com</v>
          </cell>
          <cell r="F68" t="str">
            <v>6400 Youngerman Circle</v>
          </cell>
          <cell r="G68" t="str">
            <v>Jacksonville</v>
          </cell>
          <cell r="H68" t="str">
            <v>FL</v>
          </cell>
          <cell r="I68">
            <v>32244</v>
          </cell>
          <cell r="J68" t="str">
            <v>US</v>
          </cell>
          <cell r="K68"/>
          <cell r="L68" t="str">
            <v>4% 20, Net 30</v>
          </cell>
          <cell r="M68"/>
          <cell r="N68" t="str">
            <v>Account Credit</v>
          </cell>
        </row>
        <row r="69">
          <cell r="A69" t="str">
            <v>MSE Audio (SoundTube)</v>
          </cell>
          <cell r="B69" t="str">
            <v>02XCITE</v>
          </cell>
          <cell r="C69" t="str">
            <v>awatson@mseaudio.com; jdduran@mseaudio.com</v>
          </cell>
          <cell r="D69" t="str">
            <v>913.663.5600</v>
          </cell>
          <cell r="E69" t="str">
            <v>sales@mseaudio.com</v>
          </cell>
          <cell r="F69" t="str">
            <v>6400 Youngerman Circle</v>
          </cell>
          <cell r="G69" t="str">
            <v>Jacksonville</v>
          </cell>
          <cell r="H69" t="str">
            <v>FL</v>
          </cell>
          <cell r="I69">
            <v>32244</v>
          </cell>
          <cell r="J69" t="str">
            <v>US</v>
          </cell>
          <cell r="K69"/>
          <cell r="L69" t="str">
            <v>8% 20, Net 30</v>
          </cell>
          <cell r="M69"/>
          <cell r="N69" t="str">
            <v>Account Credit</v>
          </cell>
        </row>
        <row r="70">
          <cell r="A70" t="str">
            <v>NewEgg</v>
          </cell>
          <cell r="B70">
            <v>43225975</v>
          </cell>
          <cell r="C70" t="str">
            <v>sales@neweggbusiness.com</v>
          </cell>
          <cell r="D70" t="str">
            <v>888.978.8988</v>
          </cell>
          <cell r="E70" t="str">
            <v>sales@neweggbusiness.com</v>
          </cell>
          <cell r="F70" t="str">
            <v>18501 E Gale Ave Ste 150</v>
          </cell>
          <cell r="G70" t="str">
            <v>City of Industry</v>
          </cell>
          <cell r="H70" t="str">
            <v>CA</v>
          </cell>
          <cell r="I70">
            <v>91748</v>
          </cell>
          <cell r="J70" t="str">
            <v>US</v>
          </cell>
          <cell r="K70"/>
          <cell r="L70" t="str">
            <v>Credit Card</v>
          </cell>
          <cell r="M70"/>
          <cell r="N70"/>
        </row>
        <row r="71">
          <cell r="A71" t="str">
            <v>Office Depot</v>
          </cell>
          <cell r="B71">
            <v>17999248</v>
          </cell>
          <cell r="C71" t="str">
            <v>Website</v>
          </cell>
          <cell r="D71" t="str">
            <v>855.337.6811 x12654</v>
          </cell>
          <cell r="E71" t="str">
            <v>https://business.officedepot.com
Latoya Clark</v>
          </cell>
          <cell r="F71" t="str">
            <v>9501 Amberglen Blvd. Ste 200</v>
          </cell>
          <cell r="G71" t="str">
            <v>Austin</v>
          </cell>
          <cell r="H71" t="str">
            <v>TX</v>
          </cell>
          <cell r="I71">
            <v>78729</v>
          </cell>
          <cell r="J71" t="str">
            <v>US</v>
          </cell>
          <cell r="K71" t="str">
            <v>Free Next Day</v>
          </cell>
          <cell r="L71" t="str">
            <v>Net 30</v>
          </cell>
          <cell r="M71"/>
          <cell r="N71" t="str">
            <v>Next Day Free with $50 Order</v>
          </cell>
        </row>
        <row r="72">
          <cell r="A72" t="str">
            <v>Origin Acoustics</v>
          </cell>
          <cell r="B72" t="str">
            <v>CU14097</v>
          </cell>
          <cell r="C72" t="str">
            <v>sales@originacoustics.com</v>
          </cell>
          <cell r="D72">
            <v>8446744461</v>
          </cell>
          <cell r="E72" t="str">
            <v>originacoustics.com</v>
          </cell>
          <cell r="F72" t="str">
            <v>3649 Mission Avenue, 1st Floor</v>
          </cell>
          <cell r="G72" t="str">
            <v>Riverside</v>
          </cell>
          <cell r="H72" t="str">
            <v>CA</v>
          </cell>
          <cell r="I72">
            <v>92501</v>
          </cell>
          <cell r="J72" t="str">
            <v>US</v>
          </cell>
          <cell r="K72" t="str">
            <v>Free Ground</v>
          </cell>
          <cell r="L72" t="str">
            <v>Net 30</v>
          </cell>
          <cell r="M72"/>
          <cell r="N72" t="str">
            <v xml:space="preserve">$1,101.98: Q3REBATE2016 </v>
          </cell>
        </row>
        <row r="73">
          <cell r="A73" t="str">
            <v>O'Rourke Sales</v>
          </cell>
          <cell r="B73" t="str">
            <v>801126</v>
          </cell>
          <cell r="C73" t="str">
            <v>Call</v>
          </cell>
          <cell r="D73">
            <v>7202799679</v>
          </cell>
          <cell r="E73" t="str">
            <v>Zack Yoches
zyoches@orourkesales.com</v>
          </cell>
          <cell r="F73" t="str">
            <v>11220 E 53rd Ave #700</v>
          </cell>
          <cell r="G73" t="str">
            <v>Denver</v>
          </cell>
          <cell r="H73" t="str">
            <v>CO</v>
          </cell>
          <cell r="I73">
            <v>80239</v>
          </cell>
          <cell r="J73" t="str">
            <v>US</v>
          </cell>
          <cell r="K73"/>
          <cell r="L73" t="str">
            <v>Net 30</v>
          </cell>
          <cell r="M73"/>
          <cell r="N73"/>
        </row>
        <row r="74">
          <cell r="A74" t="str">
            <v>Pureland Supply</v>
          </cell>
          <cell r="B74" t="str">
            <v>764314</v>
          </cell>
          <cell r="C74" t="str">
            <v>Website</v>
          </cell>
          <cell r="D74" t="str">
            <v>800.644.6671</v>
          </cell>
          <cell r="E74" t="str">
            <v>purelandsupply.com</v>
          </cell>
          <cell r="F74" t="str">
            <v>PO Box 534</v>
          </cell>
          <cell r="G74" t="str">
            <v>Unionville</v>
          </cell>
          <cell r="H74" t="str">
            <v>PA</v>
          </cell>
          <cell r="I74">
            <v>19375</v>
          </cell>
          <cell r="J74" t="str">
            <v>US</v>
          </cell>
          <cell r="K74"/>
          <cell r="L74" t="str">
            <v>Credit Card</v>
          </cell>
          <cell r="M74"/>
          <cell r="N74"/>
        </row>
        <row r="75">
          <cell r="A75" t="str">
            <v>PVI</v>
          </cell>
          <cell r="B75"/>
          <cell r="C75" t="str">
            <v>sales@pviusa.com</v>
          </cell>
          <cell r="D75">
            <v>3026699077</v>
          </cell>
          <cell r="E75" t="str">
            <v>sales@pviusa.com</v>
          </cell>
          <cell r="F75" t="str">
            <v>1201 Orange St</v>
          </cell>
          <cell r="G75" t="str">
            <v>Wilmington</v>
          </cell>
          <cell r="H75" t="str">
            <v>DE</v>
          </cell>
          <cell r="I75">
            <v>19899</v>
          </cell>
          <cell r="J75" t="str">
            <v>US</v>
          </cell>
          <cell r="K75"/>
          <cell r="L75" t="str">
            <v>Credit Card</v>
          </cell>
          <cell r="M75"/>
          <cell r="N75"/>
        </row>
        <row r="76">
          <cell r="A76" t="str">
            <v>R and D Distributing</v>
          </cell>
          <cell r="B76"/>
          <cell r="C76" t="str">
            <v>Call</v>
          </cell>
          <cell r="D76">
            <v>3035729292</v>
          </cell>
          <cell r="E76"/>
          <cell r="F76" t="str">
            <v>5855 Stapleton Dr N Ste A 135</v>
          </cell>
          <cell r="G76" t="str">
            <v>Denver</v>
          </cell>
          <cell r="H76" t="str">
            <v>CO</v>
          </cell>
          <cell r="I76">
            <v>80216</v>
          </cell>
          <cell r="J76" t="str">
            <v>US</v>
          </cell>
          <cell r="K76"/>
          <cell r="L76" t="str">
            <v>Net 30</v>
          </cell>
          <cell r="M76"/>
          <cell r="N76"/>
        </row>
        <row r="77">
          <cell r="A77" t="str">
            <v>Radial Engineering</v>
          </cell>
          <cell r="B77" t="str">
            <v>XCITP</v>
          </cell>
          <cell r="C77"/>
          <cell r="D77">
            <v>6049421001</v>
          </cell>
          <cell r="E77"/>
          <cell r="F77" t="str">
            <v>1588 Kebet Way</v>
          </cell>
          <cell r="G77" t="str">
            <v>Port Coquitlam</v>
          </cell>
          <cell r="H77" t="str">
            <v>BC</v>
          </cell>
          <cell r="I77" t="str">
            <v>V3C 5M5</v>
          </cell>
          <cell r="J77" t="str">
            <v>Canada</v>
          </cell>
          <cell r="K77"/>
          <cell r="L77" t="str">
            <v>Net 30</v>
          </cell>
          <cell r="M77"/>
          <cell r="N77"/>
        </row>
        <row r="78">
          <cell r="A78" t="str">
            <v>RDL</v>
          </cell>
          <cell r="B78" t="str">
            <v>CN3595</v>
          </cell>
          <cell r="C78" t="str">
            <v>sales@rdlnet.com</v>
          </cell>
          <cell r="D78">
            <v>8002812683</v>
          </cell>
          <cell r="E78" t="str">
            <v>Kristyn Montejano
kristyn.montejano@rdlnet.com</v>
          </cell>
          <cell r="F78" t="str">
            <v>659 6th Street</v>
          </cell>
          <cell r="G78" t="str">
            <v>Prescott</v>
          </cell>
          <cell r="H78" t="str">
            <v>AZ</v>
          </cell>
          <cell r="I78">
            <v>86301</v>
          </cell>
          <cell r="J78" t="str">
            <v>US</v>
          </cell>
          <cell r="K78"/>
          <cell r="L78" t="str">
            <v>Credit Card</v>
          </cell>
          <cell r="M78"/>
          <cell r="N78" t="str">
            <v>Power?  PS24AS</v>
          </cell>
        </row>
        <row r="79">
          <cell r="A79" t="str">
            <v>Screen Innovations</v>
          </cell>
          <cell r="B79" t="str">
            <v>CU1308</v>
          </cell>
          <cell r="C79" t="str">
            <v>orders@screeninnovations.com; mark@br-sales.com</v>
          </cell>
          <cell r="D79">
            <v>5128326939</v>
          </cell>
          <cell r="E79"/>
          <cell r="F79" t="str">
            <v>9715-B Burnet Rd, Ste 400</v>
          </cell>
          <cell r="G79" t="str">
            <v>Austin</v>
          </cell>
          <cell r="H79" t="str">
            <v>TX</v>
          </cell>
          <cell r="I79">
            <v>78758</v>
          </cell>
          <cell r="J79" t="str">
            <v>US</v>
          </cell>
          <cell r="K79" t="str">
            <v>Flat Rate - $125 per screen</v>
          </cell>
          <cell r="L79" t="str">
            <v>Net 30</v>
          </cell>
          <cell r="M79"/>
          <cell r="N79"/>
        </row>
        <row r="80">
          <cell r="A80" t="str">
            <v>ShuBee</v>
          </cell>
          <cell r="B80"/>
          <cell r="C80" t="str">
            <v>Website</v>
          </cell>
          <cell r="D80" t="str">
            <v>866.317.7897</v>
          </cell>
          <cell r="E80"/>
          <cell r="F80"/>
          <cell r="G80"/>
          <cell r="H80"/>
          <cell r="I80"/>
          <cell r="J80"/>
          <cell r="K80"/>
          <cell r="L80" t="str">
            <v>Credit Card</v>
          </cell>
          <cell r="M80"/>
          <cell r="N80"/>
        </row>
        <row r="81">
          <cell r="A81" t="str">
            <v>Shure</v>
          </cell>
          <cell r="B81" t="str">
            <v>24814</v>
          </cell>
          <cell r="C81" t="str">
            <v>mary@protechm.com</v>
          </cell>
          <cell r="D81">
            <v>8004343350</v>
          </cell>
          <cell r="E81" t="str">
            <v>Mary Medina
mary@protechm.com</v>
          </cell>
          <cell r="F81" t="str">
            <v>5800 West Touhy</v>
          </cell>
          <cell r="G81" t="str">
            <v>Niles</v>
          </cell>
          <cell r="H81" t="str">
            <v>IL</v>
          </cell>
          <cell r="I81">
            <v>60714</v>
          </cell>
          <cell r="J81" t="str">
            <v>US</v>
          </cell>
          <cell r="K81"/>
          <cell r="L81" t="str">
            <v>Net 30</v>
          </cell>
          <cell r="M81"/>
          <cell r="N81"/>
        </row>
        <row r="82">
          <cell r="A82" t="str">
            <v>Simple Control</v>
          </cell>
          <cell r="B82">
            <v>81142</v>
          </cell>
          <cell r="C82" t="str">
            <v>orders@simplecontrol.com</v>
          </cell>
          <cell r="D82"/>
          <cell r="E82"/>
          <cell r="F82" t="str">
            <v>21580 Stevens Creek Blvd Ste 106</v>
          </cell>
          <cell r="G82" t="str">
            <v>Cupertino</v>
          </cell>
          <cell r="H82" t="str">
            <v>CA</v>
          </cell>
          <cell r="I82">
            <v>95014</v>
          </cell>
          <cell r="J82" t="str">
            <v>US</v>
          </cell>
          <cell r="K82"/>
          <cell r="L82" t="str">
            <v>2% 30, Net 31</v>
          </cell>
          <cell r="M82"/>
          <cell r="N82"/>
        </row>
        <row r="83">
          <cell r="A83" t="str">
            <v>SnapAV</v>
          </cell>
          <cell r="B83" t="str">
            <v>S280585</v>
          </cell>
          <cell r="C83" t="str">
            <v>Website</v>
          </cell>
          <cell r="D83">
            <v>8664244489</v>
          </cell>
          <cell r="E83" t="str">
            <v>www.snapav.com</v>
          </cell>
          <cell r="F83" t="str">
            <v>1800 Continental Blvd Suite 200</v>
          </cell>
          <cell r="G83" t="str">
            <v>Charlotte</v>
          </cell>
          <cell r="H83" t="str">
            <v>NC</v>
          </cell>
          <cell r="I83">
            <v>28273</v>
          </cell>
          <cell r="J83" t="str">
            <v>US</v>
          </cell>
          <cell r="K83" t="str">
            <v>Free Ground</v>
          </cell>
          <cell r="L83" t="str">
            <v>Net 30</v>
          </cell>
          <cell r="M83"/>
          <cell r="N83"/>
        </row>
        <row r="84">
          <cell r="A84" t="str">
            <v>Sonos</v>
          </cell>
          <cell r="B84"/>
          <cell r="C84" t="str">
            <v>Website</v>
          </cell>
          <cell r="D84">
            <v>8669990645</v>
          </cell>
          <cell r="E84" t="str">
            <v>www.sonos.com</v>
          </cell>
          <cell r="F84" t="str">
            <v>223 E De La Guerra</v>
          </cell>
          <cell r="G84" t="str">
            <v>Santa Barbara</v>
          </cell>
          <cell r="H84" t="str">
            <v>CA</v>
          </cell>
          <cell r="I84">
            <v>93101</v>
          </cell>
          <cell r="J84" t="str">
            <v>US</v>
          </cell>
          <cell r="K84"/>
          <cell r="L84" t="str">
            <v>Credit Card</v>
          </cell>
          <cell r="M84"/>
          <cell r="N84"/>
        </row>
        <row r="85">
          <cell r="A85" t="str">
            <v>Spectrum</v>
          </cell>
          <cell r="B85"/>
          <cell r="C85" t="str">
            <v>kstacy@spectrumfurniture.com</v>
          </cell>
          <cell r="D85" t="str">
            <v>800.235.1262 x2173</v>
          </cell>
          <cell r="E85" t="str">
            <v>Kati Stacy
kstacy@spectrumfurniture.com</v>
          </cell>
          <cell r="F85"/>
          <cell r="G85"/>
          <cell r="H85"/>
          <cell r="I85"/>
          <cell r="J85"/>
          <cell r="K85"/>
          <cell r="L85" t="str">
            <v>Net 30</v>
          </cell>
          <cell r="M85"/>
          <cell r="N85"/>
        </row>
        <row r="86">
          <cell r="A86" t="str">
            <v>Starin</v>
          </cell>
          <cell r="B86">
            <v>5394</v>
          </cell>
          <cell r="C86" t="str">
            <v>orders@starin.biz</v>
          </cell>
          <cell r="D86">
            <v>2199294127</v>
          </cell>
          <cell r="E86" t="str">
            <v>Sean Warren
csr@starin.biz
219.929.4127 x246</v>
          </cell>
          <cell r="F86" t="str">
            <v>136 Venturi Drive</v>
          </cell>
          <cell r="G86" t="str">
            <v>Chesterton</v>
          </cell>
          <cell r="H86" t="str">
            <v>IN</v>
          </cell>
          <cell r="I86">
            <v>46304</v>
          </cell>
          <cell r="J86" t="str">
            <v>US</v>
          </cell>
          <cell r="K86"/>
          <cell r="L86" t="str">
            <v>Net 30</v>
          </cell>
          <cell r="M86"/>
          <cell r="N86"/>
        </row>
        <row r="87">
          <cell r="A87" t="str">
            <v>Stewart Audio</v>
          </cell>
          <cell r="B87" t="str">
            <v>XC010</v>
          </cell>
          <cell r="C87" t="str">
            <v>noel@darbyreps.com</v>
          </cell>
          <cell r="D87">
            <v>6509684400</v>
          </cell>
          <cell r="E87"/>
          <cell r="F87" t="str">
            <v>PO Box 4058</v>
          </cell>
          <cell r="G87" t="str">
            <v>Mountain View</v>
          </cell>
          <cell r="H87" t="str">
            <v>CA</v>
          </cell>
          <cell r="I87">
            <v>94040</v>
          </cell>
          <cell r="J87" t="str">
            <v>US</v>
          </cell>
          <cell r="K87"/>
          <cell r="L87" t="str">
            <v>Credit Card</v>
          </cell>
          <cell r="M87"/>
          <cell r="N87"/>
        </row>
        <row r="88">
          <cell r="A88" t="str">
            <v>SurgeX</v>
          </cell>
          <cell r="B88" t="str">
            <v>C1556</v>
          </cell>
          <cell r="C88" t="str">
            <v>renee@anewct.com</v>
          </cell>
          <cell r="D88">
            <v>8006459721</v>
          </cell>
          <cell r="E88" t="str">
            <v>renee@anewct.com
Jack Duncan
jack@anewct.com
303.662.8200 - office
303.810.2979 - cell</v>
          </cell>
          <cell r="F88" t="str">
            <v>8001 Knightdale Boulevard, Suite, 121</v>
          </cell>
          <cell r="G88" t="str">
            <v>Knightdale</v>
          </cell>
          <cell r="H88" t="str">
            <v>NC</v>
          </cell>
          <cell r="I88">
            <v>27545</v>
          </cell>
          <cell r="J88" t="str">
            <v>US</v>
          </cell>
          <cell r="K88"/>
          <cell r="L88" t="str">
            <v>Net 30</v>
          </cell>
          <cell r="M88"/>
          <cell r="N88"/>
        </row>
        <row r="89">
          <cell r="A89" t="str">
            <v>Symetrix</v>
          </cell>
          <cell r="B89"/>
          <cell r="C89" t="str">
            <v>don@signalreps.com</v>
          </cell>
          <cell r="D89">
            <v>4257787728</v>
          </cell>
          <cell r="E89" t="str">
            <v>don@signalreps.com</v>
          </cell>
          <cell r="F89" t="str">
            <v>6408 216th St SW</v>
          </cell>
          <cell r="G89" t="str">
            <v>Mountlake Terrace</v>
          </cell>
          <cell r="H89" t="str">
            <v>WA</v>
          </cell>
          <cell r="I89">
            <v>98043</v>
          </cell>
          <cell r="J89" t="str">
            <v>US</v>
          </cell>
          <cell r="K89"/>
          <cell r="L89" t="str">
            <v>Credit Card</v>
          </cell>
          <cell r="M89"/>
          <cell r="N89"/>
        </row>
        <row r="90">
          <cell r="A90" t="str">
            <v>Synnex</v>
          </cell>
          <cell r="B90" t="str">
            <v>566894</v>
          </cell>
          <cell r="C90" t="str">
            <v>coleenm@synnex.com</v>
          </cell>
          <cell r="D90">
            <v>8004564822</v>
          </cell>
          <cell r="E90"/>
          <cell r="F90" t="str">
            <v>39 Pelham Ridge Road</v>
          </cell>
          <cell r="G90" t="str">
            <v>Greenville</v>
          </cell>
          <cell r="H90" t="str">
            <v>SC</v>
          </cell>
          <cell r="I90">
            <v>29615</v>
          </cell>
          <cell r="J90" t="str">
            <v>US</v>
          </cell>
          <cell r="K90"/>
          <cell r="L90" t="str">
            <v>Net 30</v>
          </cell>
          <cell r="M90">
            <v>0.5</v>
          </cell>
          <cell r="N90"/>
        </row>
        <row r="91">
          <cell r="A91" t="str">
            <v>TC Group Americas</v>
          </cell>
          <cell r="B91" t="str">
            <v>03657</v>
          </cell>
          <cell r="C91" t="str">
            <v>renee@anewct.com</v>
          </cell>
          <cell r="D91">
            <v>5197451158</v>
          </cell>
          <cell r="E91" t="str">
            <v>renee@anewct.com
infot@tcgroup-americas.com
www.tcgroupamericas.com</v>
          </cell>
          <cell r="F91" t="str">
            <v>335 Gage Avenue</v>
          </cell>
          <cell r="G91" t="str">
            <v>Kitchener</v>
          </cell>
          <cell r="H91" t="str">
            <v>ON</v>
          </cell>
          <cell r="I91" t="str">
            <v>N2M 5E1</v>
          </cell>
          <cell r="J91" t="str">
            <v>Canada</v>
          </cell>
          <cell r="K91"/>
          <cell r="L91" t="str">
            <v>Net 30</v>
          </cell>
          <cell r="M91"/>
          <cell r="N91"/>
        </row>
        <row r="92">
          <cell r="A92" t="str">
            <v>Tech Data</v>
          </cell>
          <cell r="B92" t="str">
            <v>38078049</v>
          </cell>
          <cell r="C92"/>
          <cell r="D92" t="str">
            <v>800.237.8931</v>
          </cell>
          <cell r="E92"/>
          <cell r="F92"/>
          <cell r="G92"/>
          <cell r="H92"/>
          <cell r="I92"/>
          <cell r="J92"/>
          <cell r="K92"/>
          <cell r="L92"/>
          <cell r="M92"/>
          <cell r="N92"/>
        </row>
        <row r="93">
          <cell r="A93" t="str">
            <v>Toner Cable</v>
          </cell>
          <cell r="B93" t="str">
            <v>26042</v>
          </cell>
          <cell r="C93" t="str">
            <v>DavidT@tonercable.com</v>
          </cell>
          <cell r="D93" t="str">
            <v>800.523.5947</v>
          </cell>
          <cell r="E93" t="str">
            <v>DavidT@tonercable.com</v>
          </cell>
          <cell r="F93"/>
          <cell r="G93"/>
          <cell r="H93"/>
          <cell r="I93"/>
          <cell r="J93"/>
          <cell r="K93"/>
          <cell r="L93" t="str">
            <v>Credit Card</v>
          </cell>
          <cell r="M93"/>
          <cell r="N93"/>
        </row>
        <row r="94">
          <cell r="A94" t="str">
            <v>Totem Acoustic</v>
          </cell>
          <cell r="B94"/>
          <cell r="C94" t="str">
            <v>donpilkington@scowcroftandassociates.com</v>
          </cell>
          <cell r="D94"/>
          <cell r="E94"/>
          <cell r="F94"/>
          <cell r="G94"/>
          <cell r="H94"/>
          <cell r="I94"/>
          <cell r="J94"/>
          <cell r="K94"/>
          <cell r="L94" t="str">
            <v>Credit Card</v>
          </cell>
          <cell r="M94"/>
          <cell r="N94"/>
        </row>
        <row r="95">
          <cell r="A95" t="str">
            <v>Tri-Ed</v>
          </cell>
          <cell r="B95" t="str">
            <v>200317</v>
          </cell>
          <cell r="C95" t="str">
            <v>slyons@tri-ed.com</v>
          </cell>
          <cell r="D95">
            <v>3032688333</v>
          </cell>
          <cell r="E95" t="str">
            <v>Scott Lyons</v>
          </cell>
          <cell r="F95" t="str">
            <v>8200 S Akron St</v>
          </cell>
          <cell r="G95" t="str">
            <v>Centennial</v>
          </cell>
          <cell r="H95" t="str">
            <v>CO</v>
          </cell>
          <cell r="I95">
            <v>80112</v>
          </cell>
          <cell r="J95" t="str">
            <v>US</v>
          </cell>
          <cell r="K95" t="str">
            <v>Will Call</v>
          </cell>
          <cell r="L95" t="str">
            <v>Net 30</v>
          </cell>
          <cell r="M95"/>
          <cell r="N95"/>
        </row>
        <row r="96">
          <cell r="A96" t="str">
            <v>TXL</v>
          </cell>
          <cell r="B96" t="str">
            <v>43660</v>
          </cell>
          <cell r="C96" t="str">
            <v>jason.snider@txldistribution.com</v>
          </cell>
          <cell r="D96">
            <v>8775787241</v>
          </cell>
          <cell r="E96" t="str">
            <v>Jason Snider
jason.snider@txldistribution.com
623.546.10000</v>
          </cell>
          <cell r="F96"/>
          <cell r="G96"/>
          <cell r="H96"/>
          <cell r="I96"/>
          <cell r="J96"/>
          <cell r="K96"/>
          <cell r="L96" t="str">
            <v>Credit Card</v>
          </cell>
          <cell r="M96"/>
          <cell r="N96" t="str">
            <v>Polycom:  INGRAM MICRO</v>
          </cell>
        </row>
        <row r="97">
          <cell r="A97" t="str">
            <v>United Supply</v>
          </cell>
          <cell r="B97" t="str">
            <v>110160</v>
          </cell>
          <cell r="C97" t="str">
            <v>Call</v>
          </cell>
          <cell r="D97">
            <v>3037788041</v>
          </cell>
          <cell r="E97"/>
          <cell r="F97" t="str">
            <v>555 S Jason St</v>
          </cell>
          <cell r="G97" t="str">
            <v>Denver</v>
          </cell>
          <cell r="H97" t="str">
            <v>CO</v>
          </cell>
          <cell r="I97">
            <v>80223</v>
          </cell>
          <cell r="J97" t="str">
            <v>US</v>
          </cell>
          <cell r="K97"/>
          <cell r="L97" t="str">
            <v>Net 30</v>
          </cell>
          <cell r="M97"/>
          <cell r="N97"/>
        </row>
        <row r="98">
          <cell r="A98" t="str">
            <v>Universal Remote Control</v>
          </cell>
          <cell r="B98" t="str">
            <v>31465</v>
          </cell>
          <cell r="C98" t="str">
            <v>orderentry@universalremote.com</v>
          </cell>
          <cell r="D98" t="str">
            <v>914.835.4484</v>
          </cell>
          <cell r="E98" t="str">
            <v>orderentry@universalremote.com
Courtney Byers
303.758.5530
courtney@cetandassociates.com</v>
          </cell>
          <cell r="F98" t="str">
            <v>PO Box 5629</v>
          </cell>
          <cell r="G98" t="str">
            <v>New York</v>
          </cell>
          <cell r="H98" t="str">
            <v>NY</v>
          </cell>
          <cell r="I98">
            <v>10087</v>
          </cell>
          <cell r="J98" t="str">
            <v>US</v>
          </cell>
          <cell r="K98" t="str">
            <v>Free 3 Day</v>
          </cell>
          <cell r="L98" t="str">
            <v>Net 30</v>
          </cell>
          <cell r="M98"/>
          <cell r="N98"/>
        </row>
        <row r="99">
          <cell r="A99" t="str">
            <v>Vaddio</v>
          </cell>
          <cell r="B99" t="str">
            <v>345135</v>
          </cell>
          <cell r="C99" t="str">
            <v>orders@vaddio.com</v>
          </cell>
          <cell r="D99">
            <v>7639714400</v>
          </cell>
          <cell r="E99" t="str">
            <v>orders@vaddio.com</v>
          </cell>
          <cell r="F99" t="str">
            <v>131 Cheshire Lane Suite 500</v>
          </cell>
          <cell r="G99" t="str">
            <v>Minnetonka</v>
          </cell>
          <cell r="H99" t="str">
            <v>MN</v>
          </cell>
          <cell r="I99">
            <v>55305</v>
          </cell>
          <cell r="J99" t="str">
            <v>US</v>
          </cell>
          <cell r="K99"/>
          <cell r="L99" t="str">
            <v>Net 30</v>
          </cell>
          <cell r="M99"/>
          <cell r="N99"/>
        </row>
        <row r="100">
          <cell r="A100" t="str">
            <v>VidaBox</v>
          </cell>
          <cell r="B100" t="str">
            <v>andreas@xciteav.com</v>
          </cell>
          <cell r="C100" t="str">
            <v>Website</v>
          </cell>
          <cell r="D100">
            <v>8444546757</v>
          </cell>
          <cell r="E100" t="str">
            <v>vidabox.com</v>
          </cell>
          <cell r="F100" t="str">
            <v>240 Madison Ave.</v>
          </cell>
          <cell r="G100" t="str">
            <v>New Hyde Park</v>
          </cell>
          <cell r="H100" t="str">
            <v>NY</v>
          </cell>
          <cell r="I100">
            <v>11040</v>
          </cell>
          <cell r="J100" t="str">
            <v>US</v>
          </cell>
          <cell r="K100"/>
          <cell r="L100" t="str">
            <v>Credit Card</v>
          </cell>
          <cell r="M100"/>
          <cell r="N100"/>
        </row>
        <row r="101">
          <cell r="A101" t="str">
            <v>Vidyo</v>
          </cell>
          <cell r="B101" t="str">
            <v>9814</v>
          </cell>
          <cell r="C101" t="str">
            <v>mgilchrist@stampedeglobal.com</v>
          </cell>
          <cell r="D101">
            <v>7166359474</v>
          </cell>
          <cell r="E101" t="str">
            <v>mgilchrist@stampedeglobal.com</v>
          </cell>
          <cell r="F101" t="str">
            <v>55 Woodridge Drive</v>
          </cell>
          <cell r="G101" t="str">
            <v>Amherst</v>
          </cell>
          <cell r="H101" t="str">
            <v>NY</v>
          </cell>
          <cell r="I101">
            <v>14288</v>
          </cell>
          <cell r="J101" t="str">
            <v>US</v>
          </cell>
          <cell r="K101"/>
          <cell r="L101" t="str">
            <v>Net 30</v>
          </cell>
          <cell r="M101"/>
          <cell r="N101"/>
        </row>
        <row r="102">
          <cell r="A102" t="str">
            <v>VueQuest</v>
          </cell>
          <cell r="B102"/>
          <cell r="C102" t="str">
            <v>ddyer@vuequest.com</v>
          </cell>
          <cell r="D102">
            <v>8478389020</v>
          </cell>
          <cell r="E102" t="str">
            <v>Dennis Dyer</v>
          </cell>
          <cell r="F102" t="str">
            <v>986 Main Street, Unit #100</v>
          </cell>
          <cell r="G102" t="str">
            <v>Antioch</v>
          </cell>
          <cell r="H102" t="str">
            <v>IL</v>
          </cell>
          <cell r="I102">
            <v>60002</v>
          </cell>
          <cell r="J102" t="str">
            <v>US</v>
          </cell>
          <cell r="K102"/>
          <cell r="L102" t="str">
            <v>Credit Card</v>
          </cell>
          <cell r="M102"/>
          <cell r="N102"/>
        </row>
        <row r="103">
          <cell r="A103" t="str">
            <v>Yamaha</v>
          </cell>
          <cell r="B103" t="str">
            <v>800978</v>
          </cell>
          <cell r="C103" t="str">
            <v>Website</v>
          </cell>
          <cell r="D103" t="str">
            <v>800.492.6242</v>
          </cell>
          <cell r="E103"/>
          <cell r="F103" t="str">
            <v>21199 Network Place</v>
          </cell>
          <cell r="G103" t="str">
            <v>Chicago</v>
          </cell>
          <cell r="H103" t="str">
            <v>IL</v>
          </cell>
          <cell r="I103">
            <v>60673</v>
          </cell>
          <cell r="J103" t="str">
            <v>US</v>
          </cell>
          <cell r="K103" t="str">
            <v>Free Ground</v>
          </cell>
          <cell r="L103" t="str">
            <v>2% 25, Net 30</v>
          </cell>
          <cell r="M103"/>
          <cell r="N103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00"/>
      </a:hlink>
      <a:folHlink>
        <a:srgbClr val="00000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00"/>
  <sheetViews>
    <sheetView workbookViewId="0">
      <selection activeCell="C11" sqref="C11"/>
    </sheetView>
  </sheetViews>
  <sheetFormatPr defaultRowHeight="12.75" x14ac:dyDescent="0.2"/>
  <cols>
    <col min="1" max="1" width="33.85546875" bestFit="1" customWidth="1"/>
    <col min="2" max="2" width="18.28515625" bestFit="1" customWidth="1"/>
    <col min="3" max="3" width="11" customWidth="1"/>
    <col min="4" max="4" width="1.42578125" customWidth="1"/>
    <col min="5" max="5" width="17.5703125" bestFit="1" customWidth="1"/>
  </cols>
  <sheetData>
    <row r="1" spans="1:5" x14ac:dyDescent="0.2">
      <c r="A1" t="str">
        <f>IF([1]Vendors!$A7&gt;0,[1]Vendors!$A7,)</f>
        <v>Allcable</v>
      </c>
      <c r="B1" t="str">
        <f>Vendor</f>
        <v>Core Brands</v>
      </c>
      <c r="C1" t="str">
        <f>IFERROR(INDEX([1]Vendors!$A$7:$N$1000,MATCH('Purchase Order'!$B$9,[1]Vendors!$A$7:$A$1000,0),2),"")</f>
        <v>CUS2666</v>
      </c>
      <c r="E1" t="str">
        <f>IF(Delivery="Best",ShippingDefault,"See Delivery")</f>
        <v>Free Ground</v>
      </c>
    </row>
    <row r="2" spans="1:5" x14ac:dyDescent="0.2">
      <c r="A2" t="str">
        <f>IF([1]Vendors!$A8&gt;0,[1]Vendors!$A8,)</f>
        <v>Allen &amp; Heath</v>
      </c>
      <c r="C2">
        <f>IFERROR(INDEX([1]Vendors!$A$7:$N$1000,MATCH('Purchase Order'!$B$9,[1]Vendors!$A$7:$A$1000,0),4),"")</f>
        <v>8004725555</v>
      </c>
      <c r="E2" t="s">
        <v>26</v>
      </c>
    </row>
    <row r="3" spans="1:5" x14ac:dyDescent="0.2">
      <c r="A3" t="str">
        <f>IF([1]Vendors!$A9&gt;0,[1]Vendors!$A9,)</f>
        <v>Almo Pro AV</v>
      </c>
      <c r="C3" t="str">
        <f>IFERROR(INDEX([1]Vendors!$A$7:$N$1000,MATCH('Purchase Order'!$B$9,[1]Vendors!$A$7:$A$1000,0),6),"")</f>
        <v>1800 South McDowell Blvd</v>
      </c>
      <c r="E3" s="39" t="s">
        <v>20</v>
      </c>
    </row>
    <row r="4" spans="1:5" x14ac:dyDescent="0.2">
      <c r="A4" t="str">
        <f>IF([1]Vendors!$A10&gt;0,[1]Vendors!$A10,)</f>
        <v>Amazon</v>
      </c>
      <c r="C4" t="str">
        <f>IFERROR(INDEX([1]Vendors!$A$7:$N$1000,MATCH('Purchase Order'!$B$9,[1]Vendors!$A$7:$A$1000,0),7),"")</f>
        <v>Petaluma</v>
      </c>
      <c r="E4" s="39" t="s">
        <v>21</v>
      </c>
    </row>
    <row r="5" spans="1:5" x14ac:dyDescent="0.2">
      <c r="A5" t="str">
        <f>IF([1]Vendors!$A11&gt;0,[1]Vendors!$A11,)</f>
        <v>AMX</v>
      </c>
      <c r="C5" t="str">
        <f>IFERROR(INDEX([1]Vendors!$A$7:$N$1000,MATCH('Purchase Order'!$B$9,[1]Vendors!$A$7:$A$1000,0),8),"")</f>
        <v>CA</v>
      </c>
      <c r="E5" s="39" t="s">
        <v>22</v>
      </c>
    </row>
    <row r="6" spans="1:5" x14ac:dyDescent="0.2">
      <c r="A6" t="str">
        <f>IF([1]Vendors!$A12&gt;0,[1]Vendors!$A12,)</f>
        <v>Audio-Technica</v>
      </c>
      <c r="C6">
        <f>IFERROR(INDEX([1]Vendors!$A$7:$N$1000,MATCH('Purchase Order'!$B$9,[1]Vendors!$A$7:$A$1000,0),9),"")</f>
        <v>94954</v>
      </c>
      <c r="E6" s="39" t="s">
        <v>23</v>
      </c>
    </row>
    <row r="7" spans="1:5" x14ac:dyDescent="0.2">
      <c r="A7" t="str">
        <f>IF([1]Vendors!$A13&gt;0,[1]Vendors!$A13,)</f>
        <v>Audix</v>
      </c>
      <c r="C7" t="str">
        <f>IFERROR(INDEX([1]Vendors!$A$7:$N$1000,MATCH('Purchase Order'!$B$9,[1]Vendors!$A$7:$A$1000,0),10),"")</f>
        <v>US</v>
      </c>
      <c r="E7" s="39" t="s">
        <v>24</v>
      </c>
    </row>
    <row r="8" spans="1:5" x14ac:dyDescent="0.2">
      <c r="A8" t="str">
        <f>IF([1]Vendors!$A14&gt;0,[1]Vendors!$A14,)</f>
        <v>Autonomic</v>
      </c>
      <c r="C8" t="str">
        <f>IFERROR(IF(INDEX([1]Vendors!$A$7:$N$1000,MATCH('Purchase Order'!$B$9,[1]Vendors!$A$7:$A$1000,0),11)=0,"Ground",INDEX([1]Vendors!$A$7:$N$1000,MATCH('Purchase Order'!$B$9,[1]Vendors!$A$7:$A$1000,0),11)),"Ground")</f>
        <v>Free Ground</v>
      </c>
      <c r="E8" s="39" t="s">
        <v>25</v>
      </c>
    </row>
    <row r="9" spans="1:5" x14ac:dyDescent="0.2">
      <c r="A9" t="str">
        <f>IF([1]Vendors!$A15&gt;0,[1]Vendors!$A15,)</f>
        <v>AVAD</v>
      </c>
      <c r="C9" t="str">
        <f>IFERROR(INDEX([1]Vendors!$A$7:$N$1000,MATCH('Purchase Order'!$B$9,[1]Vendors!$A$7:$A$1000,0),12),"Credit Card")</f>
        <v>Net 30</v>
      </c>
    </row>
    <row r="10" spans="1:5" x14ac:dyDescent="0.2">
      <c r="A10" t="str">
        <f>IF([1]Vendors!$A16&gt;0,[1]Vendors!$A16,)</f>
        <v>B&amp;H</v>
      </c>
      <c r="C10" t="str">
        <f>IFERROR(INDEX([1]Vendors!$A$7:$N$1000,MATCH('Purchase Order'!$B$9,[1]Vendors!$A$7:$A$1000,0),3),"")</f>
        <v>Website</v>
      </c>
    </row>
    <row r="11" spans="1:5" x14ac:dyDescent="0.2">
      <c r="A11" t="str">
        <f>IF([1]Vendors!$A17&gt;0,[1]Vendors!$A17,)</f>
        <v>Barco (Clickshare)</v>
      </c>
      <c r="C11">
        <f>IFERROR(INDEX([1]Vendors!$A$7:$N$1000,MATCH('Purchase Order'!$B$9,[1]Vendors!$A$7:$A$1000,0),14),"")</f>
        <v>0</v>
      </c>
    </row>
    <row r="12" spans="1:5" x14ac:dyDescent="0.2">
      <c r="A12" t="str">
        <f>IF([1]Vendors!$A18&gt;0,[1]Vendors!$A18,)</f>
        <v>Barco Inc</v>
      </c>
    </row>
    <row r="13" spans="1:5" x14ac:dyDescent="0.2">
      <c r="A13" t="str">
        <f>IF([1]Vendors!$A19&gt;0,[1]Vendors!$A19,)</f>
        <v>Beale Street Audio</v>
      </c>
    </row>
    <row r="14" spans="1:5" x14ac:dyDescent="0.2">
      <c r="A14" t="str">
        <f>IF([1]Vendors!$A20&gt;0,[1]Vendors!$A20,)</f>
        <v>Best Buy</v>
      </c>
    </row>
    <row r="15" spans="1:5" x14ac:dyDescent="0.2">
      <c r="A15" t="str">
        <f>IF([1]Vendors!$A21&gt;0,[1]Vendors!$A21,)</f>
        <v>Biamp</v>
      </c>
    </row>
    <row r="16" spans="1:5" x14ac:dyDescent="0.2">
      <c r="A16" t="str">
        <f>IF([1]Vendors!$A22&gt;0,[1]Vendors!$A22,)</f>
        <v>Black Box</v>
      </c>
    </row>
    <row r="17" spans="1:1" x14ac:dyDescent="0.2">
      <c r="A17" t="str">
        <f>IF([1]Vendors!$A23&gt;0,[1]Vendors!$A23,)</f>
        <v>BTX</v>
      </c>
    </row>
    <row r="18" spans="1:1" x14ac:dyDescent="0.2">
      <c r="A18" t="str">
        <f>IF([1]Vendors!$A24&gt;0,[1]Vendors!$A24,)</f>
        <v>Cables To Go</v>
      </c>
    </row>
    <row r="19" spans="1:1" x14ac:dyDescent="0.2">
      <c r="A19" t="str">
        <f>IF([1]Vendors!$A25&gt;0,[1]Vendors!$A25,)</f>
        <v>Channel Master</v>
      </c>
    </row>
    <row r="20" spans="1:1" x14ac:dyDescent="0.2">
      <c r="A20" t="str">
        <f>IF([1]Vendors!$A26&gt;0,[1]Vendors!$A26,)</f>
        <v>Christie</v>
      </c>
    </row>
    <row r="21" spans="1:1" x14ac:dyDescent="0.2">
      <c r="A21" t="str">
        <f>IF([1]Vendors!$A27&gt;0,[1]Vendors!$A27,)</f>
        <v>ClearOne</v>
      </c>
    </row>
    <row r="22" spans="1:1" x14ac:dyDescent="0.2">
      <c r="A22" t="str">
        <f>IF([1]Vendors!$A28&gt;0,[1]Vendors!$A28,)</f>
        <v>Cleerline Technology</v>
      </c>
    </row>
    <row r="23" spans="1:1" x14ac:dyDescent="0.2">
      <c r="A23" t="str">
        <f>IF([1]Vendors!$A29&gt;0,[1]Vendors!$A29,)</f>
        <v>Computer Security Products</v>
      </c>
    </row>
    <row r="24" spans="1:1" x14ac:dyDescent="0.2">
      <c r="A24" t="str">
        <f>IF([1]Vendors!$A30&gt;0,[1]Vendors!$A30,)</f>
        <v>Core Brands</v>
      </c>
    </row>
    <row r="25" spans="1:1" x14ac:dyDescent="0.2">
      <c r="A25" t="str">
        <f>IF([1]Vendors!$A31&gt;0,[1]Vendors!$A31,)</f>
        <v>Countryman</v>
      </c>
    </row>
    <row r="26" spans="1:1" x14ac:dyDescent="0.2">
      <c r="A26" t="str">
        <f>IF([1]Vendors!$A32&gt;0,[1]Vendors!$A32,)</f>
        <v>Crestron Electronics</v>
      </c>
    </row>
    <row r="27" spans="1:1" x14ac:dyDescent="0.2">
      <c r="A27" t="str">
        <f>IF([1]Vendors!$A33&gt;0,[1]Vendors!$A33,)</f>
        <v>Cutting Edge Distribution</v>
      </c>
    </row>
    <row r="28" spans="1:1" x14ac:dyDescent="0.2">
      <c r="A28" t="str">
        <f>IF([1]Vendors!$A34&gt;0,[1]Vendors!$A34,)</f>
        <v>Definitive Technology</v>
      </c>
    </row>
    <row r="29" spans="1:1" x14ac:dyDescent="0.2">
      <c r="A29" t="str">
        <f>IF([1]Vendors!$A35&gt;0,[1]Vendors!$A35,)</f>
        <v>Digital Projection</v>
      </c>
    </row>
    <row r="30" spans="1:1" x14ac:dyDescent="0.2">
      <c r="A30" t="str">
        <f>IF([1]Vendors!$A36&gt;0,[1]Vendors!$A36,)</f>
        <v>DWI Enterprises</v>
      </c>
    </row>
    <row r="31" spans="1:1" x14ac:dyDescent="0.2">
      <c r="A31" t="str">
        <f>IF([1]Vendors!$A37&gt;0,[1]Vendors!$A37,)</f>
        <v>Extron</v>
      </c>
    </row>
    <row r="32" spans="1:1" x14ac:dyDescent="0.2">
      <c r="A32" t="str">
        <f>IF([1]Vendors!$A38&gt;0,[1]Vendors!$A38,)</f>
        <v>FSR</v>
      </c>
    </row>
    <row r="33" spans="1:1" x14ac:dyDescent="0.2">
      <c r="A33" t="str">
        <f>IF([1]Vendors!$A39&gt;0,[1]Vendors!$A39,)</f>
        <v>Full Compass</v>
      </c>
    </row>
    <row r="34" spans="1:1" x14ac:dyDescent="0.2">
      <c r="A34" t="str">
        <f>IF([1]Vendors!$A40&gt;0,[1]Vendors!$A40,)</f>
        <v>Graybar</v>
      </c>
    </row>
    <row r="35" spans="1:1" x14ac:dyDescent="0.2">
      <c r="A35" t="str">
        <f>IF([1]Vendors!$A41&gt;0,[1]Vendors!$A41,)</f>
        <v>Hall Research</v>
      </c>
    </row>
    <row r="36" spans="1:1" x14ac:dyDescent="0.2">
      <c r="A36" t="str">
        <f>IF([1]Vendors!$A42&gt;0,[1]Vendors!$A42,)</f>
        <v>Harman Professional</v>
      </c>
    </row>
    <row r="37" spans="1:1" x14ac:dyDescent="0.2">
      <c r="A37" t="str">
        <f>IF([1]Vendors!$A43&gt;0,[1]Vendors!$A43,)</f>
        <v>Haverford Systems</v>
      </c>
    </row>
    <row r="38" spans="1:1" x14ac:dyDescent="0.2">
      <c r="A38" t="str">
        <f>IF([1]Vendors!$A44&gt;0,[1]Vendors!$A44,)</f>
        <v>HCA</v>
      </c>
    </row>
    <row r="39" spans="1:1" x14ac:dyDescent="0.2">
      <c r="A39" t="str">
        <f>IF([1]Vendors!$A45&gt;0,[1]Vendors!$A45,)</f>
        <v>IAVI</v>
      </c>
    </row>
    <row r="40" spans="1:1" x14ac:dyDescent="0.2">
      <c r="A40" t="str">
        <f>IF([1]Vendors!$A46&gt;0,[1]Vendors!$A46,)</f>
        <v>IEC</v>
      </c>
    </row>
    <row r="41" spans="1:1" x14ac:dyDescent="0.2">
      <c r="A41" t="str">
        <f>IF([1]Vendors!$A47&gt;0,[1]Vendors!$A47,)</f>
        <v>INFOCUS</v>
      </c>
    </row>
    <row r="42" spans="1:1" x14ac:dyDescent="0.2">
      <c r="A42" t="str">
        <f>IF([1]Vendors!$A48&gt;0,[1]Vendors!$A48,)</f>
        <v>Ingram Micro</v>
      </c>
    </row>
    <row r="43" spans="1:1" x14ac:dyDescent="0.2">
      <c r="A43" t="str">
        <f>IF([1]Vendors!$A49&gt;0,[1]Vendors!$A49,)</f>
        <v>InMusic Brands</v>
      </c>
    </row>
    <row r="44" spans="1:1" x14ac:dyDescent="0.2">
      <c r="A44" t="str">
        <f>IF([1]Vendors!$A50&gt;0,[1]Vendors!$A50,)</f>
        <v>JB&amp;A Distribution</v>
      </c>
    </row>
    <row r="45" spans="1:1" x14ac:dyDescent="0.2">
      <c r="A45" t="str">
        <f>IF([1]Vendors!$A51&gt;0,[1]Vendors!$A51,)</f>
        <v>Juice Goose</v>
      </c>
    </row>
    <row r="46" spans="1:1" x14ac:dyDescent="0.2">
      <c r="A46" t="str">
        <f>IF([1]Vendors!$A52&gt;0,[1]Vendors!$A52,)</f>
        <v>Just Lamps</v>
      </c>
    </row>
    <row r="47" spans="1:1" x14ac:dyDescent="0.2">
      <c r="A47" t="str">
        <f>IF([1]Vendors!$A53&gt;0,[1]Vendors!$A53,)</f>
        <v>KEF</v>
      </c>
    </row>
    <row r="48" spans="1:1" x14ac:dyDescent="0.2">
      <c r="A48" t="str">
        <f>IF([1]Vendors!$A54&gt;0,[1]Vendors!$A54,)</f>
        <v>Key Digital</v>
      </c>
    </row>
    <row r="49" spans="1:1" x14ac:dyDescent="0.2">
      <c r="A49" t="str">
        <f>IF([1]Vendors!$A55&gt;0,[1]Vendors!$A55,"")</f>
        <v>Leading Edge Systems</v>
      </c>
    </row>
    <row r="50" spans="1:1" x14ac:dyDescent="0.2">
      <c r="A50" t="str">
        <f>IF([1]Vendors!$A56&gt;0,[1]Vendors!$A56,"")</f>
        <v>Liberty AV</v>
      </c>
    </row>
    <row r="51" spans="1:1" x14ac:dyDescent="0.2">
      <c r="A51" t="str">
        <f>IF([1]Vendors!$A57&gt;0,[1]Vendors!$A57,"")</f>
        <v>Listen Technologies</v>
      </c>
    </row>
    <row r="52" spans="1:1" x14ac:dyDescent="0.2">
      <c r="A52" t="str">
        <f>IF([1]Vendors!$A58&gt;0,[1]Vendors!$A58,"")</f>
        <v>Lowell Manufacturing</v>
      </c>
    </row>
    <row r="53" spans="1:1" x14ac:dyDescent="0.2">
      <c r="A53" t="str">
        <f>IF([1]Vendors!$A59&gt;0,[1]Vendors!$A59,"")</f>
        <v>MessageNet</v>
      </c>
    </row>
    <row r="54" spans="1:1" x14ac:dyDescent="0.2">
      <c r="A54" t="str">
        <f>IF([1]Vendors!$A60&gt;0,[1]Vendors!$A60,"")</f>
        <v>Metra</v>
      </c>
    </row>
    <row r="55" spans="1:1" x14ac:dyDescent="0.2">
      <c r="A55" t="str">
        <f>IF([1]Vendors!$A61&gt;0,[1]Vendors!$A61,"")</f>
        <v>Middle Atlantic</v>
      </c>
    </row>
    <row r="56" spans="1:1" x14ac:dyDescent="0.2">
      <c r="A56" t="str">
        <f>IF([1]Vendors!$A62&gt;0,[1]Vendors!$A62,"")</f>
        <v>Milestone AV (Chief)</v>
      </c>
    </row>
    <row r="57" spans="1:1" x14ac:dyDescent="0.2">
      <c r="A57" t="str">
        <f>IF([1]Vendors!$A63&gt;0,[1]Vendors!$A63,"")</f>
        <v>Milestone AV (Da-Lite)</v>
      </c>
    </row>
    <row r="58" spans="1:1" x14ac:dyDescent="0.2">
      <c r="A58" t="str">
        <f>IF([1]Vendors!$A64&gt;0,[1]Vendors!$A64,"")</f>
        <v>Milestone AV (Sanus)</v>
      </c>
    </row>
    <row r="59" spans="1:1" x14ac:dyDescent="0.2">
      <c r="A59" t="str">
        <f>IF([1]Vendors!$A65&gt;0,[1]Vendors!$A65,"")</f>
        <v>MiTek Distribution</v>
      </c>
    </row>
    <row r="60" spans="1:1" x14ac:dyDescent="0.2">
      <c r="A60" t="str">
        <f>IF([1]Vendors!$A66&gt;0,[1]Vendors!$A66,"")</f>
        <v>Mountain West</v>
      </c>
    </row>
    <row r="61" spans="1:1" x14ac:dyDescent="0.2">
      <c r="A61" t="str">
        <f>IF([1]Vendors!$A67&gt;0,[1]Vendors!$A67,"")</f>
        <v>MSE Audio (Phase Technology)</v>
      </c>
    </row>
    <row r="62" spans="1:1" x14ac:dyDescent="0.2">
      <c r="A62" t="str">
        <f>IF([1]Vendors!$A68&gt;0,[1]Vendors!$A68,"")</f>
        <v>MSE Audio (Rockustics)</v>
      </c>
    </row>
    <row r="63" spans="1:1" x14ac:dyDescent="0.2">
      <c r="A63" t="str">
        <f>IF([1]Vendors!$A69&gt;0,[1]Vendors!$A69,"")</f>
        <v>MSE Audio (SoundTube)</v>
      </c>
    </row>
    <row r="64" spans="1:1" x14ac:dyDescent="0.2">
      <c r="A64" t="str">
        <f>IF([1]Vendors!$A70&gt;0,[1]Vendors!$A70,"")</f>
        <v>NewEgg</v>
      </c>
    </row>
    <row r="65" spans="1:1" x14ac:dyDescent="0.2">
      <c r="A65" t="str">
        <f>IF([1]Vendors!$A71&gt;0,[1]Vendors!$A71,"")</f>
        <v>Office Depot</v>
      </c>
    </row>
    <row r="66" spans="1:1" x14ac:dyDescent="0.2">
      <c r="A66" t="str">
        <f>IF([1]Vendors!$A72&gt;0,[1]Vendors!$A72,"")</f>
        <v>Origin Acoustics</v>
      </c>
    </row>
    <row r="67" spans="1:1" x14ac:dyDescent="0.2">
      <c r="A67" t="str">
        <f>IF([1]Vendors!$A73&gt;0,[1]Vendors!$A73,"")</f>
        <v>O'Rourke Sales</v>
      </c>
    </row>
    <row r="68" spans="1:1" x14ac:dyDescent="0.2">
      <c r="A68" t="str">
        <f>IF([1]Vendors!$A74&gt;0,[1]Vendors!$A74,"")</f>
        <v>Pureland Supply</v>
      </c>
    </row>
    <row r="69" spans="1:1" x14ac:dyDescent="0.2">
      <c r="A69" t="str">
        <f>IF([1]Vendors!$A75&gt;0,[1]Vendors!$A75,"")</f>
        <v>PVI</v>
      </c>
    </row>
    <row r="70" spans="1:1" x14ac:dyDescent="0.2">
      <c r="A70" t="str">
        <f>IF([1]Vendors!$A76&gt;0,[1]Vendors!$A76,"")</f>
        <v>R and D Distributing</v>
      </c>
    </row>
    <row r="71" spans="1:1" x14ac:dyDescent="0.2">
      <c r="A71" t="str">
        <f>IF([1]Vendors!$A77&gt;0,[1]Vendors!$A77,"")</f>
        <v>Radial Engineering</v>
      </c>
    </row>
    <row r="72" spans="1:1" x14ac:dyDescent="0.2">
      <c r="A72" t="str">
        <f>IF([1]Vendors!$A78&gt;0,[1]Vendors!$A78,"")</f>
        <v>RDL</v>
      </c>
    </row>
    <row r="73" spans="1:1" x14ac:dyDescent="0.2">
      <c r="A73" t="str">
        <f>IF([1]Vendors!$A79&gt;0,[1]Vendors!$A79,"")</f>
        <v>Screen Innovations</v>
      </c>
    </row>
    <row r="74" spans="1:1" x14ac:dyDescent="0.2">
      <c r="A74" t="str">
        <f>IF([1]Vendors!$A80&gt;0,[1]Vendors!$A80,"")</f>
        <v>ShuBee</v>
      </c>
    </row>
    <row r="75" spans="1:1" x14ac:dyDescent="0.2">
      <c r="A75" t="str">
        <f>IF([1]Vendors!$A81&gt;0,[1]Vendors!$A81,"")</f>
        <v>Shure</v>
      </c>
    </row>
    <row r="76" spans="1:1" x14ac:dyDescent="0.2">
      <c r="A76" t="str">
        <f>IF([1]Vendors!$A82&gt;0,[1]Vendors!$A82,"")</f>
        <v>Simple Control</v>
      </c>
    </row>
    <row r="77" spans="1:1" x14ac:dyDescent="0.2">
      <c r="A77" t="str">
        <f>IF([1]Vendors!$A83&gt;0,[1]Vendors!$A83,"")</f>
        <v>SnapAV</v>
      </c>
    </row>
    <row r="78" spans="1:1" x14ac:dyDescent="0.2">
      <c r="A78" t="str">
        <f>IF([1]Vendors!$A84&gt;0,[1]Vendors!$A84,"")</f>
        <v>Sonos</v>
      </c>
    </row>
    <row r="79" spans="1:1" x14ac:dyDescent="0.2">
      <c r="A79" t="str">
        <f>IF([1]Vendors!$A85&gt;0,[1]Vendors!$A85,"")</f>
        <v>Spectrum</v>
      </c>
    </row>
    <row r="80" spans="1:1" x14ac:dyDescent="0.2">
      <c r="A80" t="str">
        <f>IF([1]Vendors!$A86&gt;0,[1]Vendors!$A86,"")</f>
        <v>Starin</v>
      </c>
    </row>
    <row r="81" spans="1:1" x14ac:dyDescent="0.2">
      <c r="A81" t="str">
        <f>IF([1]Vendors!$A87&gt;0,[1]Vendors!$A87,"")</f>
        <v>Stewart Audio</v>
      </c>
    </row>
    <row r="82" spans="1:1" x14ac:dyDescent="0.2">
      <c r="A82" t="str">
        <f>IF([1]Vendors!$A88&gt;0,[1]Vendors!$A88,"")</f>
        <v>SurgeX</v>
      </c>
    </row>
    <row r="83" spans="1:1" x14ac:dyDescent="0.2">
      <c r="A83" t="str">
        <f>IF([1]Vendors!$A89&gt;0,[1]Vendors!$A89,"")</f>
        <v>Symetrix</v>
      </c>
    </row>
    <row r="84" spans="1:1" x14ac:dyDescent="0.2">
      <c r="A84" t="str">
        <f>IF([1]Vendors!$A90&gt;0,[1]Vendors!$A90,"")</f>
        <v>Synnex</v>
      </c>
    </row>
    <row r="85" spans="1:1" x14ac:dyDescent="0.2">
      <c r="A85" t="str">
        <f>IF([1]Vendors!$A91&gt;0,[1]Vendors!$A91,"")</f>
        <v>TC Group Americas</v>
      </c>
    </row>
    <row r="86" spans="1:1" x14ac:dyDescent="0.2">
      <c r="A86" t="str">
        <f>IF([1]Vendors!$A92&gt;0,[1]Vendors!$A92,"")</f>
        <v>Tech Data</v>
      </c>
    </row>
    <row r="87" spans="1:1" x14ac:dyDescent="0.2">
      <c r="A87" t="str">
        <f>IF([1]Vendors!$A93&gt;0,[1]Vendors!$A93,"")</f>
        <v>Toner Cable</v>
      </c>
    </row>
    <row r="88" spans="1:1" x14ac:dyDescent="0.2">
      <c r="A88" t="str">
        <f>IF([1]Vendors!$A94&gt;0,[1]Vendors!$A94,"")</f>
        <v>Totem Acoustic</v>
      </c>
    </row>
    <row r="89" spans="1:1" x14ac:dyDescent="0.2">
      <c r="A89" t="str">
        <f>IF([1]Vendors!$A95&gt;0,[1]Vendors!$A95,"")</f>
        <v>Tri-Ed</v>
      </c>
    </row>
    <row r="90" spans="1:1" x14ac:dyDescent="0.2">
      <c r="A90" t="str">
        <f>IF([1]Vendors!$A96&gt;0,[1]Vendors!$A96,"")</f>
        <v>TXL</v>
      </c>
    </row>
    <row r="91" spans="1:1" x14ac:dyDescent="0.2">
      <c r="A91" t="str">
        <f>IF([1]Vendors!$A97&gt;0,[1]Vendors!$A97,"")</f>
        <v>United Supply</v>
      </c>
    </row>
    <row r="92" spans="1:1" x14ac:dyDescent="0.2">
      <c r="A92" t="str">
        <f>IF([1]Vendors!$A98&gt;0,[1]Vendors!$A98,"")</f>
        <v>Universal Remote Control</v>
      </c>
    </row>
    <row r="93" spans="1:1" x14ac:dyDescent="0.2">
      <c r="A93" t="str">
        <f>IF([1]Vendors!$A99&gt;0,[1]Vendors!$A99,"")</f>
        <v>Vaddio</v>
      </c>
    </row>
    <row r="94" spans="1:1" x14ac:dyDescent="0.2">
      <c r="A94" t="str">
        <f>IF([1]Vendors!$A100&gt;0,[1]Vendors!$A100,"")</f>
        <v>VidaBox</v>
      </c>
    </row>
    <row r="95" spans="1:1" x14ac:dyDescent="0.2">
      <c r="A95" t="str">
        <f>IF([1]Vendors!$A101&gt;0,[1]Vendors!$A101,"")</f>
        <v>Vidyo</v>
      </c>
    </row>
    <row r="96" spans="1:1" x14ac:dyDescent="0.2">
      <c r="A96" t="str">
        <f>IF([1]Vendors!$A102&gt;0,[1]Vendors!$A102,"")</f>
        <v>VueQuest</v>
      </c>
    </row>
    <row r="97" spans="1:1" x14ac:dyDescent="0.2">
      <c r="A97" t="str">
        <f>IF([1]Vendors!$A103&gt;0,[1]Vendors!$A103,"")</f>
        <v>Yamaha</v>
      </c>
    </row>
    <row r="98" spans="1:1" x14ac:dyDescent="0.2">
      <c r="A98" t="str">
        <f>IF([1]Vendors!$A104&gt;0,[1]Vendors!$A104,"")</f>
        <v/>
      </c>
    </row>
    <row r="99" spans="1:1" x14ac:dyDescent="0.2">
      <c r="A99" t="str">
        <f>IF([1]Vendors!$A105&gt;0,[1]Vendors!$A105,"")</f>
        <v/>
      </c>
    </row>
    <row r="100" spans="1:1" x14ac:dyDescent="0.2">
      <c r="A100" t="str">
        <f>IF([1]Vendors!$A106&gt;0,[1]Vendors!$A106,"")</f>
        <v/>
      </c>
    </row>
  </sheetData>
  <sortState xmlns:xlrd2="http://schemas.microsoft.com/office/spreadsheetml/2017/richdata2" ref="D1:D13">
    <sortCondition ref="D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49"/>
  <sheetViews>
    <sheetView showGridLines="0" tabSelected="1" showWhiteSpace="0" zoomScaleNormal="100" zoomScaleSheetLayoutView="110" workbookViewId="0">
      <selection activeCell="F38" sqref="F38"/>
    </sheetView>
  </sheetViews>
  <sheetFormatPr defaultColWidth="0" defaultRowHeight="12.75" zeroHeight="1" x14ac:dyDescent="0.2"/>
  <cols>
    <col min="1" max="1" width="10.140625" customWidth="1"/>
    <col min="2" max="2" width="21.42578125" customWidth="1"/>
    <col min="3" max="3" width="21.5703125" customWidth="1"/>
    <col min="4" max="4" width="13.85546875" customWidth="1"/>
    <col min="5" max="5" width="11.5703125" customWidth="1"/>
    <col min="6" max="6" width="12.42578125" customWidth="1"/>
    <col min="7" max="7" width="0.5703125" customWidth="1"/>
    <col min="8" max="16384" width="9.140625" hidden="1"/>
  </cols>
  <sheetData>
    <row r="1" spans="1:7" ht="55.5" customHeight="1" x14ac:dyDescent="0.3">
      <c r="A1" s="19"/>
      <c r="B1" s="19"/>
      <c r="C1" s="19"/>
      <c r="D1" s="19"/>
      <c r="E1" s="19"/>
      <c r="F1" s="30" t="s">
        <v>12</v>
      </c>
      <c r="G1" s="20"/>
    </row>
    <row r="2" spans="1:7" ht="36.75" customHeight="1" x14ac:dyDescent="0.3">
      <c r="A2" s="46"/>
      <c r="B2" s="45"/>
      <c r="C2" s="45"/>
      <c r="D2" s="55" t="str">
        <f>IF(Notes&lt;&gt;0,Notes,"")</f>
        <v/>
      </c>
      <c r="E2" s="55"/>
      <c r="F2" s="55"/>
      <c r="G2" s="18"/>
    </row>
    <row r="3" spans="1:7" ht="14.1" customHeight="1" x14ac:dyDescent="0.3">
      <c r="A3" s="33"/>
      <c r="B3" s="33"/>
      <c r="C3" s="38"/>
      <c r="D3" s="59"/>
      <c r="E3" s="59"/>
      <c r="F3" s="59"/>
      <c r="G3" s="2"/>
    </row>
    <row r="4" spans="1:7" ht="14.1" customHeight="1" x14ac:dyDescent="0.3">
      <c r="A4" s="62" t="s">
        <v>29</v>
      </c>
      <c r="B4" s="62"/>
      <c r="C4" s="22" t="s">
        <v>17</v>
      </c>
      <c r="D4" s="41" t="str">
        <f ca="1">IFERROR(NewPurchaseOrder(),"")</f>
        <v/>
      </c>
      <c r="E4" s="41"/>
      <c r="F4" s="41"/>
      <c r="G4" s="2"/>
    </row>
    <row r="5" spans="1:7" ht="14.1" customHeight="1" x14ac:dyDescent="0.3">
      <c r="A5" s="62" t="s">
        <v>30</v>
      </c>
      <c r="B5" s="62"/>
      <c r="C5" s="22" t="s">
        <v>18</v>
      </c>
      <c r="D5" s="57">
        <f ca="1">TODAY()</f>
        <v>45118</v>
      </c>
      <c r="E5" s="57"/>
      <c r="F5" s="57"/>
      <c r="G5" s="2"/>
    </row>
    <row r="6" spans="1:7" ht="14.1" customHeight="1" x14ac:dyDescent="0.3">
      <c r="A6" s="62" t="s">
        <v>31</v>
      </c>
      <c r="B6" s="62"/>
      <c r="C6" s="22" t="str">
        <f>IF(Vendor="Amazon","Sold &amp; Shipped By",IF(AND(Account&lt;&gt;"",Account&lt;&gt;0),"Account",""))</f>
        <v>Account</v>
      </c>
      <c r="D6" s="58" t="str">
        <f>IF(AND(Account&lt;&gt;"",Account&lt;&gt;0),Account,"")</f>
        <v>CUS2666</v>
      </c>
      <c r="E6" s="58"/>
      <c r="F6" s="58"/>
      <c r="G6" s="2"/>
    </row>
    <row r="7" spans="1:7" ht="14.1" customHeight="1" x14ac:dyDescent="0.3">
      <c r="A7" s="62" t="s">
        <v>32</v>
      </c>
      <c r="B7" s="62"/>
      <c r="C7" s="22" t="str">
        <f>IF(AND(D7&lt;&gt;"",D7&lt;&gt;0),"Sales Order","")</f>
        <v/>
      </c>
      <c r="D7" s="58"/>
      <c r="E7" s="58"/>
      <c r="F7" s="58"/>
      <c r="G7" s="2"/>
    </row>
    <row r="8" spans="1:7" ht="14.1" customHeight="1" x14ac:dyDescent="0.3">
      <c r="A8" s="33"/>
      <c r="B8" s="33"/>
      <c r="C8" s="33"/>
      <c r="D8" s="33"/>
      <c r="E8" s="33"/>
      <c r="F8" s="2"/>
      <c r="G8" s="2"/>
    </row>
    <row r="9" spans="1:7" ht="14.1" customHeight="1" x14ac:dyDescent="0.35">
      <c r="A9" s="3" t="s">
        <v>10</v>
      </c>
      <c r="B9" s="25" t="s">
        <v>35</v>
      </c>
      <c r="C9" s="4" t="s">
        <v>2</v>
      </c>
      <c r="D9" s="36" t="s">
        <v>36</v>
      </c>
      <c r="E9" s="32"/>
      <c r="F9" s="2"/>
      <c r="G9" s="2"/>
    </row>
    <row r="10" spans="1:7" ht="14.1" customHeight="1" x14ac:dyDescent="0.3">
      <c r="A10" s="34"/>
      <c r="B10" s="24" t="str">
        <f>IF(Street&lt;&gt;0,Street,"")</f>
        <v>1800 South McDowell Blvd</v>
      </c>
      <c r="C10" s="15"/>
      <c r="D10" s="56" t="s">
        <v>33</v>
      </c>
      <c r="E10" s="56"/>
      <c r="F10" s="2"/>
      <c r="G10" s="2"/>
    </row>
    <row r="11" spans="1:7" ht="14.1" customHeight="1" x14ac:dyDescent="0.3">
      <c r="A11" s="24"/>
      <c r="B11" s="24" t="str">
        <f>IF(OR(City="",City=0,State="",State=0,ZIP="",ZIP=0),"",CONCATENATE(City,", ",State,"  ",ZIP))</f>
        <v>Petaluma, CA  94954</v>
      </c>
      <c r="C11" s="15"/>
      <c r="D11" s="56" t="s">
        <v>29</v>
      </c>
      <c r="E11" s="56"/>
      <c r="F11" s="2"/>
      <c r="G11" s="2"/>
    </row>
    <row r="12" spans="1:7" ht="14.1" customHeight="1" x14ac:dyDescent="0.3">
      <c r="A12" s="24"/>
      <c r="B12" s="24" t="str">
        <f>IF(AND(Country&lt;&gt;"US",Country&lt;&gt;0),Country,"")</f>
        <v/>
      </c>
      <c r="C12" s="15"/>
      <c r="D12" s="56" t="s">
        <v>30</v>
      </c>
      <c r="E12" s="56"/>
      <c r="F12" s="2"/>
      <c r="G12" s="2"/>
    </row>
    <row r="13" spans="1:7" ht="14.1" customHeight="1" x14ac:dyDescent="0.3">
      <c r="A13" s="24"/>
      <c r="B13" s="26">
        <f>IF(Phone &gt; 0,Phone,"")</f>
        <v>8004725555</v>
      </c>
      <c r="C13" s="15"/>
      <c r="D13" s="56" t="s">
        <v>31</v>
      </c>
      <c r="E13" s="56"/>
      <c r="F13" s="2"/>
      <c r="G13" s="2"/>
    </row>
    <row r="14" spans="1:7" ht="14.1" customHeight="1" thickBot="1" x14ac:dyDescent="0.35">
      <c r="A14" s="31"/>
      <c r="B14" s="31"/>
      <c r="C14" s="31"/>
      <c r="D14" s="31"/>
      <c r="E14" s="31"/>
      <c r="F14" s="2"/>
      <c r="G14" s="2"/>
    </row>
    <row r="15" spans="1:7" ht="15.95" customHeight="1" x14ac:dyDescent="0.3">
      <c r="A15" s="63" t="s">
        <v>8</v>
      </c>
      <c r="B15" s="64"/>
      <c r="C15" s="60" t="s">
        <v>11</v>
      </c>
      <c r="D15" s="61"/>
      <c r="E15" s="65" t="s">
        <v>19</v>
      </c>
      <c r="F15" s="66"/>
      <c r="G15" s="1"/>
    </row>
    <row r="16" spans="1:7" ht="15.95" customHeight="1" x14ac:dyDescent="0.3">
      <c r="A16" s="53" t="str">
        <f>'Vendor Info'!C8</f>
        <v>Free Ground</v>
      </c>
      <c r="B16" s="54"/>
      <c r="C16" s="53" t="str">
        <f>IF(AND(TermsDefault&lt;&gt;"",TermsDefault&lt;&gt;0),TermsDefault,"")</f>
        <v>Net 30</v>
      </c>
      <c r="D16" s="54"/>
      <c r="E16" s="48" t="s">
        <v>16</v>
      </c>
      <c r="F16" s="49"/>
      <c r="G16" s="1"/>
    </row>
    <row r="17" spans="1:6" s="1" customFormat="1" ht="15.95" customHeight="1" thickBot="1" x14ac:dyDescent="0.35">
      <c r="A17" s="27"/>
      <c r="B17" s="27"/>
      <c r="C17" s="28"/>
      <c r="D17" s="28"/>
      <c r="E17" s="28"/>
      <c r="F17" s="28"/>
    </row>
    <row r="18" spans="1:6" s="1" customFormat="1" ht="15.95" customHeight="1" x14ac:dyDescent="0.3">
      <c r="A18" s="16" t="s">
        <v>3</v>
      </c>
      <c r="B18" s="16" t="s">
        <v>4</v>
      </c>
      <c r="C18" s="43" t="s">
        <v>0</v>
      </c>
      <c r="D18" s="17" t="s">
        <v>28</v>
      </c>
      <c r="E18" s="17" t="s">
        <v>1</v>
      </c>
      <c r="F18" s="17" t="s">
        <v>5</v>
      </c>
    </row>
    <row r="19" spans="1:6" s="1" customFormat="1" ht="15.95" customHeight="1" x14ac:dyDescent="0.3">
      <c r="A19" s="29"/>
      <c r="B19" s="5"/>
      <c r="C19" s="35"/>
      <c r="D19" s="35"/>
      <c r="E19" s="6"/>
      <c r="F19" s="7" t="str">
        <f t="shared" ref="F19:F38" si="0">IF(AND(NOT(ISBLANK(Quantity)), ISNUMBER(Quantity), ISNUMBER(Price)),ROUND(Quantity*Price,2), "")</f>
        <v/>
      </c>
    </row>
    <row r="20" spans="1:6" s="1" customFormat="1" ht="15.95" customHeight="1" x14ac:dyDescent="0.3">
      <c r="A20" s="29"/>
      <c r="B20" s="5"/>
      <c r="C20" s="44"/>
      <c r="D20" s="35"/>
      <c r="E20" s="6"/>
      <c r="F20" s="7" t="str">
        <f t="shared" si="0"/>
        <v/>
      </c>
    </row>
    <row r="21" spans="1:6" s="1" customFormat="1" ht="15.95" customHeight="1" x14ac:dyDescent="0.3">
      <c r="A21" s="29"/>
      <c r="B21" s="5"/>
      <c r="C21" s="35"/>
      <c r="D21" s="35"/>
      <c r="E21" s="6"/>
      <c r="F21" s="7" t="str">
        <f t="shared" si="0"/>
        <v/>
      </c>
    </row>
    <row r="22" spans="1:6" s="1" customFormat="1" ht="15.95" customHeight="1" x14ac:dyDescent="0.3">
      <c r="A22" s="29"/>
      <c r="B22" s="5"/>
      <c r="C22" s="35"/>
      <c r="D22" s="35"/>
      <c r="E22" s="6"/>
      <c r="F22" s="7" t="str">
        <f t="shared" si="0"/>
        <v/>
      </c>
    </row>
    <row r="23" spans="1:6" s="1" customFormat="1" ht="15.95" customHeight="1" x14ac:dyDescent="0.3">
      <c r="A23" s="29"/>
      <c r="B23" s="5"/>
      <c r="C23" s="35"/>
      <c r="D23" s="35"/>
      <c r="E23" s="6"/>
      <c r="F23" s="7" t="str">
        <f t="shared" si="0"/>
        <v/>
      </c>
    </row>
    <row r="24" spans="1:6" s="1" customFormat="1" ht="15.95" customHeight="1" x14ac:dyDescent="0.3">
      <c r="A24" s="29"/>
      <c r="B24" s="5"/>
      <c r="C24" s="35"/>
      <c r="D24" s="35"/>
      <c r="E24" s="6"/>
      <c r="F24" s="7" t="str">
        <f t="shared" si="0"/>
        <v/>
      </c>
    </row>
    <row r="25" spans="1:6" s="1" customFormat="1" ht="15.95" customHeight="1" x14ac:dyDescent="0.3">
      <c r="A25" s="29"/>
      <c r="B25" s="5"/>
      <c r="C25" s="35"/>
      <c r="D25" s="5"/>
      <c r="E25" s="6"/>
      <c r="F25" s="7" t="str">
        <f t="shared" si="0"/>
        <v/>
      </c>
    </row>
    <row r="26" spans="1:6" s="1" customFormat="1" ht="15.95" customHeight="1" x14ac:dyDescent="0.3">
      <c r="A26" s="29"/>
      <c r="B26" s="5"/>
      <c r="C26" s="35"/>
      <c r="D26" s="5"/>
      <c r="E26" s="6"/>
      <c r="F26" s="7" t="str">
        <f t="shared" si="0"/>
        <v/>
      </c>
    </row>
    <row r="27" spans="1:6" s="1" customFormat="1" ht="15.95" customHeight="1" x14ac:dyDescent="0.3">
      <c r="A27" s="29"/>
      <c r="B27" s="5"/>
      <c r="C27" s="35"/>
      <c r="D27" s="35"/>
      <c r="E27" s="6"/>
      <c r="F27" s="7" t="str">
        <f t="shared" si="0"/>
        <v/>
      </c>
    </row>
    <row r="28" spans="1:6" s="1" customFormat="1" ht="15.95" customHeight="1" x14ac:dyDescent="0.3">
      <c r="A28" s="29"/>
      <c r="B28" s="5"/>
      <c r="C28" s="35"/>
      <c r="D28" s="5"/>
      <c r="E28" s="6"/>
      <c r="F28" s="7" t="str">
        <f t="shared" si="0"/>
        <v/>
      </c>
    </row>
    <row r="29" spans="1:6" s="1" customFormat="1" ht="15.95" customHeight="1" x14ac:dyDescent="0.3">
      <c r="A29" s="29"/>
      <c r="B29" s="5"/>
      <c r="C29" s="35"/>
      <c r="D29" s="5"/>
      <c r="E29" s="6"/>
      <c r="F29" s="7" t="str">
        <f t="shared" si="0"/>
        <v/>
      </c>
    </row>
    <row r="30" spans="1:6" s="1" customFormat="1" ht="15.95" customHeight="1" x14ac:dyDescent="0.3">
      <c r="A30" s="29"/>
      <c r="B30" s="5"/>
      <c r="C30" s="35"/>
      <c r="D30" s="5"/>
      <c r="E30" s="6"/>
      <c r="F30" s="7" t="str">
        <f t="shared" si="0"/>
        <v/>
      </c>
    </row>
    <row r="31" spans="1:6" s="1" customFormat="1" ht="15.95" customHeight="1" x14ac:dyDescent="0.3">
      <c r="A31" s="29"/>
      <c r="B31" s="5"/>
      <c r="C31" s="35"/>
      <c r="D31" s="5"/>
      <c r="E31" s="6"/>
      <c r="F31" s="7" t="str">
        <f t="shared" si="0"/>
        <v/>
      </c>
    </row>
    <row r="32" spans="1:6" s="1" customFormat="1" ht="15.95" customHeight="1" x14ac:dyDescent="0.3">
      <c r="A32" s="29"/>
      <c r="B32" s="5"/>
      <c r="C32" s="35"/>
      <c r="D32" s="5"/>
      <c r="E32" s="6"/>
      <c r="F32" s="7" t="str">
        <f t="shared" si="0"/>
        <v/>
      </c>
    </row>
    <row r="33" spans="1:7" ht="15.95" customHeight="1" x14ac:dyDescent="0.3">
      <c r="A33" s="29"/>
      <c r="B33" s="5"/>
      <c r="C33" s="35"/>
      <c r="D33" s="5"/>
      <c r="E33" s="6"/>
      <c r="F33" s="7" t="str">
        <f t="shared" si="0"/>
        <v/>
      </c>
      <c r="G33" s="1"/>
    </row>
    <row r="34" spans="1:7" ht="15.95" customHeight="1" x14ac:dyDescent="0.3">
      <c r="A34" s="29"/>
      <c r="B34" s="5"/>
      <c r="C34" s="35"/>
      <c r="D34" s="5" t="s">
        <v>13</v>
      </c>
      <c r="E34" s="6"/>
      <c r="F34" s="7" t="str">
        <f t="shared" si="0"/>
        <v/>
      </c>
      <c r="G34" s="1"/>
    </row>
    <row r="35" spans="1:7" ht="15.95" customHeight="1" x14ac:dyDescent="0.3">
      <c r="A35" s="29"/>
      <c r="B35" s="5"/>
      <c r="C35" s="35"/>
      <c r="D35" s="5"/>
      <c r="E35" s="6"/>
      <c r="F35" s="7" t="str">
        <f t="shared" si="0"/>
        <v/>
      </c>
      <c r="G35" s="1"/>
    </row>
    <row r="36" spans="1:7" ht="15.95" customHeight="1" x14ac:dyDescent="0.3">
      <c r="A36" s="29"/>
      <c r="B36" s="5"/>
      <c r="C36" s="35"/>
      <c r="D36" s="5"/>
      <c r="E36" s="6"/>
      <c r="F36" s="7" t="str">
        <f t="shared" si="0"/>
        <v/>
      </c>
      <c r="G36" s="1"/>
    </row>
    <row r="37" spans="1:7" ht="15.95" customHeight="1" x14ac:dyDescent="0.3">
      <c r="A37" s="29"/>
      <c r="B37" s="5"/>
      <c r="C37" s="35"/>
      <c r="D37" s="5"/>
      <c r="E37" s="6"/>
      <c r="F37" s="7" t="str">
        <f t="shared" si="0"/>
        <v/>
      </c>
      <c r="G37" s="1"/>
    </row>
    <row r="38" spans="1:7" ht="15.95" customHeight="1" x14ac:dyDescent="0.3">
      <c r="A38" s="29"/>
      <c r="B38" s="5"/>
      <c r="C38" s="35"/>
      <c r="D38" s="5"/>
      <c r="E38" s="6"/>
      <c r="F38" s="7" t="str">
        <f t="shared" si="0"/>
        <v/>
      </c>
      <c r="G38" s="1"/>
    </row>
    <row r="39" spans="1:7" ht="15.95" customHeight="1" x14ac:dyDescent="0.35">
      <c r="A39" s="10"/>
      <c r="B39" s="10"/>
      <c r="C39" s="10"/>
      <c r="D39" s="10"/>
      <c r="E39" s="11" t="s">
        <v>6</v>
      </c>
      <c r="F39" s="42">
        <f>SUM(F19:F38)</f>
        <v>0</v>
      </c>
      <c r="G39" s="1"/>
    </row>
    <row r="40" spans="1:7" ht="15.95" customHeight="1" x14ac:dyDescent="0.35">
      <c r="A40" s="52" t="s">
        <v>27</v>
      </c>
      <c r="B40" s="52"/>
      <c r="C40" s="52"/>
      <c r="D40" s="8"/>
      <c r="E40" s="12" t="s">
        <v>14</v>
      </c>
      <c r="F40" s="37">
        <f>IF(AND(ISERROR(SEARCH("Free",Shipping)),ISERROR(SEARCH("Will Call",Shipping))),"",0)</f>
        <v>0</v>
      </c>
      <c r="G40" s="1"/>
    </row>
    <row r="41" spans="1:7" ht="15.95" customHeight="1" x14ac:dyDescent="0.3">
      <c r="A41" s="52"/>
      <c r="B41" s="52"/>
      <c r="C41" s="52"/>
      <c r="D41" s="8"/>
      <c r="E41" s="12" t="s">
        <v>7</v>
      </c>
      <c r="F41" s="9">
        <f>IF(ISNUMBER(F40),F39+F40,F39)</f>
        <v>0</v>
      </c>
      <c r="G41" s="1"/>
    </row>
    <row r="42" spans="1:7" ht="12.75" customHeight="1" x14ac:dyDescent="0.3">
      <c r="A42" s="52"/>
      <c r="B42" s="52"/>
      <c r="C42" s="52"/>
      <c r="D42" s="13"/>
      <c r="E42" s="13"/>
      <c r="F42" s="13"/>
      <c r="G42" s="1"/>
    </row>
    <row r="43" spans="1:7" ht="19.5" customHeight="1" x14ac:dyDescent="0.35">
      <c r="A43" s="52"/>
      <c r="B43" s="52"/>
      <c r="C43" s="52"/>
      <c r="D43" s="47" t="s">
        <v>34</v>
      </c>
      <c r="E43" s="47"/>
      <c r="F43" s="47"/>
      <c r="G43" s="1"/>
    </row>
    <row r="44" spans="1:7" ht="15.95" customHeight="1" x14ac:dyDescent="0.3">
      <c r="A44" s="52"/>
      <c r="B44" s="52"/>
      <c r="C44" s="52"/>
      <c r="D44" s="40" t="s">
        <v>9</v>
      </c>
      <c r="E44" s="23"/>
      <c r="F44" s="14"/>
      <c r="G44" s="1"/>
    </row>
    <row r="45" spans="1:7" ht="54.75" customHeight="1" x14ac:dyDescent="0.3">
      <c r="A45" s="50" t="s">
        <v>15</v>
      </c>
      <c r="B45" s="51"/>
      <c r="C45" s="51"/>
      <c r="D45" s="51"/>
      <c r="E45" s="51"/>
      <c r="F45" s="51"/>
      <c r="G45" s="13"/>
    </row>
    <row r="46" spans="1:7" ht="55.5" customHeight="1" x14ac:dyDescent="0.3">
      <c r="A46" s="21"/>
      <c r="B46" s="21"/>
      <c r="C46" s="21"/>
      <c r="D46" s="21"/>
      <c r="E46" s="21"/>
      <c r="F46" s="21"/>
      <c r="G46" s="21"/>
    </row>
    <row r="49" customFormat="1" ht="13.5" hidden="1" customHeight="1" x14ac:dyDescent="0.2"/>
  </sheetData>
  <mergeCells count="22">
    <mergeCell ref="C15:D15"/>
    <mergeCell ref="A6:B6"/>
    <mergeCell ref="D12:E12"/>
    <mergeCell ref="D13:E13"/>
    <mergeCell ref="A4:B4"/>
    <mergeCell ref="A5:B5"/>
    <mergeCell ref="A15:B15"/>
    <mergeCell ref="E15:F15"/>
    <mergeCell ref="A7:B7"/>
    <mergeCell ref="D2:F2"/>
    <mergeCell ref="D10:E10"/>
    <mergeCell ref="D11:E11"/>
    <mergeCell ref="D5:F5"/>
    <mergeCell ref="D6:F6"/>
    <mergeCell ref="D7:F7"/>
    <mergeCell ref="D3:F3"/>
    <mergeCell ref="D43:F43"/>
    <mergeCell ref="E16:F16"/>
    <mergeCell ref="A45:F45"/>
    <mergeCell ref="A40:C44"/>
    <mergeCell ref="A16:B16"/>
    <mergeCell ref="C16:D16"/>
  </mergeCells>
  <phoneticPr fontId="1" type="noConversion"/>
  <conditionalFormatting sqref="E16:F16">
    <cfRule type="cellIs" dxfId="0" priority="1" operator="notEqual">
      <formula>"Best"</formula>
    </cfRule>
  </conditionalFormatting>
  <dataValidations count="2">
    <dataValidation errorStyle="warning" allowBlank="1" showInputMessage="1" sqref="D9" xr:uid="{00000000-0002-0000-0100-000000000000}"/>
    <dataValidation type="list" allowBlank="1" sqref="A16:B16" xr:uid="{00000000-0002-0000-0100-000001000000}">
      <formula1>ShipMethodList</formula1>
    </dataValidation>
  </dataValidations>
  <printOptions horizontalCentered="1"/>
  <pageMargins left="0.75" right="0.75" top="0.5" bottom="0.5" header="0.5" footer="0.5"/>
  <pageSetup scale="95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2000000}">
          <x14:formula1>
            <xm:f>'Vendor Info'!$A$1:$A$91</xm:f>
          </x14:formula1>
          <xm:sqref>B9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Vendor Info</vt:lpstr>
      <vt:lpstr>Purchase Order</vt:lpstr>
      <vt:lpstr>Account</vt:lpstr>
      <vt:lpstr>City</vt:lpstr>
      <vt:lpstr>Country</vt:lpstr>
      <vt:lpstr>Date</vt:lpstr>
      <vt:lpstr>Delivery</vt:lpstr>
      <vt:lpstr>Email</vt:lpstr>
      <vt:lpstr>Flatten</vt:lpstr>
      <vt:lpstr>Notes</vt:lpstr>
      <vt:lpstr>Orders</vt:lpstr>
      <vt:lpstr>Phone</vt:lpstr>
      <vt:lpstr>PO</vt:lpstr>
      <vt:lpstr>Price</vt:lpstr>
      <vt:lpstr>Projects</vt:lpstr>
      <vt:lpstr>Quantity</vt:lpstr>
      <vt:lpstr>Recipient</vt:lpstr>
      <vt:lpstr>ShipMethodList</vt:lpstr>
      <vt:lpstr>Shipping</vt:lpstr>
      <vt:lpstr>ShippingDefault</vt:lpstr>
      <vt:lpstr>ShipToStreet</vt:lpstr>
      <vt:lpstr>State</vt:lpstr>
      <vt:lpstr>Street</vt:lpstr>
      <vt:lpstr>Terms</vt:lpstr>
      <vt:lpstr>TermsDefault</vt:lpstr>
      <vt:lpstr>Vendor</vt:lpstr>
      <vt:lpstr>ZIP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Interoffice Purchase Order</dc:title>
  <cp:lastModifiedBy>Nicole</cp:lastModifiedBy>
  <cp:lastPrinted>2014-09-05T16:41:36Z</cp:lastPrinted>
  <dcterms:created xsi:type="dcterms:W3CDTF">2006-01-23T19:37:33Z</dcterms:created>
  <dcterms:modified xsi:type="dcterms:W3CDTF">2023-07-12T04:39:37Z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TC101514071033</vt:lpwstr>
  </property>
  <property fmtid="{D5CDD505-2E9C-101B-9397-08002B2CF9AE}" pid="3" name="Project" linkTarget="Vendors">
    <vt:lpwstr>#REF!</vt:lpwstr>
  </property>
</Properties>
</file>